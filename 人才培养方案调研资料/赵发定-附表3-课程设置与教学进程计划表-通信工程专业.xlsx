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E9BCBE5-3DDF-4FCF-BC47-B66EEF969D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课程设置与教学进程计划表" sheetId="1" r:id="rId1"/>
    <sheet name="各学期学分统计" sheetId="2" r:id="rId2"/>
  </sheets>
  <definedNames>
    <definedName name="_xlnm._FilterDatabase" localSheetId="0" hidden="1">课程设置与教学进程计划表!$A$5:$P$105</definedName>
    <definedName name="_xlnm.Print_Area" localSheetId="0">课程设置与教学进程计划表!$A$1:$P$105</definedName>
    <definedName name="_xlnm.Print_Titles" localSheetId="0">课程设置与教学进程计划表!$3:$5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2" l="1"/>
  <c r="G81" i="1"/>
  <c r="G75" i="1"/>
  <c r="G39" i="1"/>
  <c r="G20" i="1"/>
  <c r="G15" i="1"/>
  <c r="G104" i="1" l="1"/>
  <c r="G29" i="1" l="1"/>
  <c r="N104" i="1"/>
  <c r="M104" i="1"/>
  <c r="L104" i="1"/>
  <c r="K104" i="1"/>
  <c r="J104" i="1"/>
  <c r="G51" i="1" l="1"/>
  <c r="G105" i="1" s="1"/>
</calcChain>
</file>

<file path=xl/sharedStrings.xml><?xml version="1.0" encoding="utf-8"?>
<sst xmlns="http://schemas.openxmlformats.org/spreadsheetml/2006/main" count="543" uniqueCount="334">
  <si>
    <t>学院</t>
  </si>
  <si>
    <t>专业</t>
  </si>
  <si>
    <t>课程代码</t>
  </si>
  <si>
    <t>考核方式</t>
  </si>
  <si>
    <t>行课时间段</t>
  </si>
  <si>
    <t>通识教育课程</t>
  </si>
  <si>
    <t>必修</t>
  </si>
  <si>
    <t>思想政治类</t>
  </si>
  <si>
    <t>外语类</t>
  </si>
  <si>
    <t>军事体育类</t>
  </si>
  <si>
    <t>数理基础类</t>
  </si>
  <si>
    <t>小计</t>
  </si>
  <si>
    <t>创新创业实践</t>
  </si>
  <si>
    <t>选修</t>
  </si>
  <si>
    <t>通识教育合计</t>
  </si>
  <si>
    <t>学科基础类课程</t>
  </si>
  <si>
    <t xml:space="preserve">必修
</t>
  </si>
  <si>
    <t>学科基础类课程合计</t>
  </si>
  <si>
    <t>毕业实习</t>
  </si>
  <si>
    <t>Graduation Practice</t>
  </si>
  <si>
    <t>毕业设计（论文）</t>
  </si>
  <si>
    <t>Graduation Thesis/Design</t>
  </si>
  <si>
    <t>任选</t>
  </si>
  <si>
    <t>专业课程合计</t>
  </si>
  <si>
    <t>总学分</t>
  </si>
  <si>
    <t>小计</t>
    <phoneticPr fontId="8" type="noConversion"/>
  </si>
  <si>
    <t>附表3：</t>
    <phoneticPr fontId="8" type="noConversion"/>
  </si>
  <si>
    <r>
      <rPr>
        <b/>
        <sz val="9"/>
        <rFont val="宋体"/>
        <family val="3"/>
        <charset val="134"/>
      </rPr>
      <t>模块</t>
    </r>
  </si>
  <si>
    <r>
      <rPr>
        <b/>
        <sz val="9"/>
        <rFont val="宋体"/>
        <family val="3"/>
        <charset val="134"/>
      </rPr>
      <t>课程中文名称</t>
    </r>
  </si>
  <si>
    <r>
      <rPr>
        <b/>
        <sz val="9"/>
        <rFont val="宋体"/>
        <family val="3"/>
        <charset val="134"/>
      </rPr>
      <t>课程英文名称</t>
    </r>
  </si>
  <si>
    <r>
      <rPr>
        <b/>
        <sz val="9"/>
        <rFont val="宋体"/>
        <family val="3"/>
        <charset val="134"/>
      </rPr>
      <t>学分</t>
    </r>
  </si>
  <si>
    <r>
      <rPr>
        <b/>
        <sz val="9"/>
        <rFont val="宋体"/>
        <family val="3"/>
        <charset val="134"/>
      </rPr>
      <t>课程性质</t>
    </r>
  </si>
  <si>
    <r>
      <rPr>
        <b/>
        <sz val="9"/>
        <rFont val="宋体"/>
        <family val="3"/>
        <charset val="134"/>
      </rPr>
      <t>学时</t>
    </r>
  </si>
  <si>
    <r>
      <rPr>
        <b/>
        <sz val="9"/>
        <rFont val="宋体"/>
        <family val="3"/>
        <charset val="134"/>
      </rPr>
      <t>学时分配</t>
    </r>
  </si>
  <si>
    <r>
      <rPr>
        <b/>
        <sz val="9"/>
        <rFont val="宋体"/>
        <family val="3"/>
        <charset val="134"/>
      </rPr>
      <t>执行学期</t>
    </r>
  </si>
  <si>
    <r>
      <rPr>
        <b/>
        <sz val="9"/>
        <rFont val="宋体"/>
        <family val="3"/>
        <charset val="134"/>
      </rPr>
      <t>讲授</t>
    </r>
  </si>
  <si>
    <r>
      <rPr>
        <b/>
        <sz val="9"/>
        <rFont val="宋体"/>
        <family val="3"/>
        <charset val="134"/>
      </rPr>
      <t>实验</t>
    </r>
  </si>
  <si>
    <r>
      <rPr>
        <b/>
        <sz val="9"/>
        <rFont val="宋体"/>
        <family val="3"/>
        <charset val="134"/>
      </rPr>
      <t>实习</t>
    </r>
  </si>
  <si>
    <r>
      <rPr>
        <b/>
        <sz val="9"/>
        <rFont val="宋体"/>
        <family val="3"/>
        <charset val="134"/>
      </rPr>
      <t>上机</t>
    </r>
  </si>
  <si>
    <r>
      <rPr>
        <sz val="9"/>
        <rFont val="宋体"/>
        <family val="3"/>
        <charset val="134"/>
      </rPr>
      <t>小计</t>
    </r>
  </si>
  <si>
    <t>劳动教育类</t>
    <phoneticPr fontId="8" type="noConversion"/>
  </si>
  <si>
    <t>创新创业类</t>
    <phoneticPr fontId="8" type="noConversion"/>
  </si>
  <si>
    <t>OT011A</t>
  </si>
  <si>
    <t>劳动教育课程</t>
  </si>
  <si>
    <t>Labor Education</t>
  </si>
  <si>
    <t>考查</t>
  </si>
  <si>
    <t>课程设置与教学进程计划表</t>
    <phoneticPr fontId="8" type="noConversion"/>
  </si>
  <si>
    <t>MA010A</t>
  </si>
  <si>
    <r>
      <rPr>
        <sz val="10"/>
        <color theme="1"/>
        <rFont val="宋体"/>
        <family val="3"/>
        <charset val="134"/>
      </rPr>
      <t>思想道德与法治</t>
    </r>
  </si>
  <si>
    <t>Ideology and Morality and Rule of Law</t>
  </si>
  <si>
    <r>
      <rPr>
        <sz val="10"/>
        <color theme="1"/>
        <rFont val="宋体"/>
        <family val="3"/>
        <charset val="134"/>
      </rPr>
      <t>必修</t>
    </r>
  </si>
  <si>
    <r>
      <rPr>
        <sz val="10"/>
        <color theme="1"/>
        <rFont val="宋体"/>
        <family val="3"/>
        <charset val="134"/>
      </rPr>
      <t>考查</t>
    </r>
  </si>
  <si>
    <t>MA002A</t>
  </si>
  <si>
    <r>
      <rPr>
        <sz val="10"/>
        <color theme="1"/>
        <rFont val="宋体"/>
        <family val="3"/>
        <charset val="134"/>
      </rPr>
      <t>中国近现代史纲要</t>
    </r>
  </si>
  <si>
    <t>Outline of Chinese Modern History</t>
  </si>
  <si>
    <r>
      <rPr>
        <sz val="10"/>
        <color theme="1"/>
        <rFont val="宋体"/>
        <family val="3"/>
        <charset val="134"/>
      </rPr>
      <t>考试</t>
    </r>
  </si>
  <si>
    <t>MA003A</t>
  </si>
  <si>
    <r>
      <rPr>
        <sz val="10"/>
        <color theme="1"/>
        <rFont val="宋体"/>
        <family val="3"/>
        <charset val="134"/>
      </rPr>
      <t>马克思主义基本原理</t>
    </r>
  </si>
  <si>
    <t>Fundamental Tenets of Marxism</t>
  </si>
  <si>
    <t>MA004A</t>
  </si>
  <si>
    <r>
      <rPr>
        <sz val="10"/>
        <color theme="1"/>
        <rFont val="宋体"/>
        <family val="3"/>
        <charset val="134"/>
      </rPr>
      <t>毛泽东思想和中国特色社会主义理论体系概论</t>
    </r>
    <r>
      <rPr>
        <sz val="10"/>
        <color theme="1"/>
        <rFont val="Times New Roman"/>
        <family val="1"/>
      </rPr>
      <t>1</t>
    </r>
  </si>
  <si>
    <t>Introduction to Mao Zedong Thought and Theory of Socialism with Chinese Characteristics 1</t>
  </si>
  <si>
    <t>MA005A</t>
  </si>
  <si>
    <r>
      <rPr>
        <sz val="10"/>
        <color theme="1"/>
        <rFont val="宋体"/>
        <family val="3"/>
        <charset val="134"/>
      </rPr>
      <t>毛泽东思想和中国特色社会主义理论体系概论</t>
    </r>
    <r>
      <rPr>
        <sz val="10"/>
        <color theme="1"/>
        <rFont val="Times New Roman"/>
        <family val="1"/>
      </rPr>
      <t>2</t>
    </r>
  </si>
  <si>
    <t>Introduction to Mao Zedong Thought and Theory of Socialism with Chinese Characteristics 2</t>
  </si>
  <si>
    <t>MA006A</t>
  </si>
  <si>
    <r>
      <rPr>
        <sz val="10"/>
        <color theme="1"/>
        <rFont val="宋体"/>
        <family val="3"/>
        <charset val="134"/>
      </rPr>
      <t>形势与政策</t>
    </r>
    <r>
      <rPr>
        <sz val="10"/>
        <color theme="1"/>
        <rFont val="Times New Roman"/>
        <family val="1"/>
      </rPr>
      <t>1</t>
    </r>
  </si>
  <si>
    <t>Situation &amp; Policy 1</t>
  </si>
  <si>
    <t>MA007A</t>
  </si>
  <si>
    <r>
      <rPr>
        <sz val="10"/>
        <color theme="1"/>
        <rFont val="宋体"/>
        <family val="3"/>
        <charset val="134"/>
      </rPr>
      <t>形势与政策</t>
    </r>
    <r>
      <rPr>
        <sz val="10"/>
        <color theme="1"/>
        <rFont val="Times New Roman"/>
        <family val="1"/>
      </rPr>
      <t>2</t>
    </r>
  </si>
  <si>
    <t>Situation &amp; Policy 2</t>
  </si>
  <si>
    <t>MA008A</t>
  </si>
  <si>
    <r>
      <rPr>
        <sz val="10"/>
        <color theme="1"/>
        <rFont val="宋体"/>
        <family val="3"/>
        <charset val="134"/>
      </rPr>
      <t>形势与政策</t>
    </r>
    <r>
      <rPr>
        <sz val="10"/>
        <color theme="1"/>
        <rFont val="Times New Roman"/>
        <family val="1"/>
      </rPr>
      <t>3</t>
    </r>
  </si>
  <si>
    <t>Situation &amp; Policy 3</t>
  </si>
  <si>
    <t>MA009A</t>
  </si>
  <si>
    <r>
      <rPr>
        <sz val="10"/>
        <color theme="1"/>
        <rFont val="宋体"/>
        <family val="3"/>
        <charset val="134"/>
      </rPr>
      <t>形势与政策</t>
    </r>
    <r>
      <rPr>
        <sz val="10"/>
        <color theme="1"/>
        <rFont val="Times New Roman"/>
        <family val="1"/>
      </rPr>
      <t>4</t>
    </r>
  </si>
  <si>
    <t>Situation &amp; Policy 4</t>
  </si>
  <si>
    <t>FL001A</t>
  </si>
  <si>
    <r>
      <rPr>
        <sz val="10"/>
        <color theme="1"/>
        <rFont val="宋体"/>
        <family val="3"/>
        <charset val="134"/>
      </rPr>
      <t>大学英语</t>
    </r>
    <r>
      <rPr>
        <sz val="10"/>
        <color theme="1"/>
        <rFont val="Times New Roman"/>
        <family val="1"/>
      </rPr>
      <t>1</t>
    </r>
  </si>
  <si>
    <t>College English 1</t>
  </si>
  <si>
    <t>FL002A</t>
  </si>
  <si>
    <r>
      <rPr>
        <sz val="10"/>
        <color theme="1"/>
        <rFont val="宋体"/>
        <family val="3"/>
        <charset val="134"/>
      </rPr>
      <t>大学英语</t>
    </r>
    <r>
      <rPr>
        <sz val="10"/>
        <color theme="1"/>
        <rFont val="Times New Roman"/>
        <family val="1"/>
      </rPr>
      <t>2</t>
    </r>
  </si>
  <si>
    <t>College English 2</t>
  </si>
  <si>
    <t>FL005A</t>
  </si>
  <si>
    <r>
      <rPr>
        <sz val="10"/>
        <color theme="1"/>
        <rFont val="宋体"/>
        <family val="3"/>
        <charset val="134"/>
      </rPr>
      <t>跨文化英语</t>
    </r>
  </si>
  <si>
    <t>English for Intercultural Communication</t>
  </si>
  <si>
    <t>FL006A</t>
  </si>
  <si>
    <t>科技英语</t>
  </si>
  <si>
    <t>English for Science and Technology</t>
  </si>
  <si>
    <t>OT009A</t>
  </si>
  <si>
    <r>
      <rPr>
        <sz val="10"/>
        <color theme="1"/>
        <rFont val="宋体"/>
        <family val="3"/>
        <charset val="134"/>
      </rPr>
      <t>军事技能</t>
    </r>
  </si>
  <si>
    <t>Military Skill</t>
  </si>
  <si>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周</t>
    </r>
  </si>
  <si>
    <t>OT010A</t>
  </si>
  <si>
    <r>
      <rPr>
        <sz val="10"/>
        <color theme="1"/>
        <rFont val="宋体"/>
        <family val="3"/>
        <charset val="134"/>
      </rPr>
      <t>军事理论</t>
    </r>
  </si>
  <si>
    <t>Military Theory</t>
  </si>
  <si>
    <t>SP001A</t>
  </si>
  <si>
    <r>
      <rPr>
        <sz val="10"/>
        <rFont val="宋体"/>
        <family val="3"/>
        <charset val="134"/>
      </rPr>
      <t>体育</t>
    </r>
    <r>
      <rPr>
        <sz val="10"/>
        <rFont val="Times New Roman"/>
        <family val="1"/>
      </rPr>
      <t>1</t>
    </r>
  </si>
  <si>
    <t>Physical Education 1</t>
  </si>
  <si>
    <t>SP002A</t>
  </si>
  <si>
    <r>
      <rPr>
        <sz val="10"/>
        <rFont val="宋体"/>
        <family val="3"/>
        <charset val="134"/>
      </rPr>
      <t>体育</t>
    </r>
    <r>
      <rPr>
        <sz val="10"/>
        <rFont val="Times New Roman"/>
        <family val="1"/>
      </rPr>
      <t>2</t>
    </r>
  </si>
  <si>
    <t>Physical Education 2</t>
  </si>
  <si>
    <t>SP003A</t>
  </si>
  <si>
    <r>
      <rPr>
        <sz val="10"/>
        <rFont val="宋体"/>
        <family val="3"/>
        <charset val="134"/>
      </rPr>
      <t>体育</t>
    </r>
    <r>
      <rPr>
        <sz val="10"/>
        <rFont val="Times New Roman"/>
        <family val="1"/>
      </rPr>
      <t>3</t>
    </r>
  </si>
  <si>
    <t>Physical Education 3</t>
  </si>
  <si>
    <t>SP004A</t>
  </si>
  <si>
    <r>
      <rPr>
        <sz val="10"/>
        <rFont val="宋体"/>
        <family val="3"/>
        <charset val="134"/>
      </rPr>
      <t>体育</t>
    </r>
    <r>
      <rPr>
        <sz val="10"/>
        <rFont val="Times New Roman"/>
        <family val="1"/>
      </rPr>
      <t>4</t>
    </r>
  </si>
  <si>
    <t>Physical Education 4</t>
  </si>
  <si>
    <t>SP005A</t>
  </si>
  <si>
    <r>
      <rPr>
        <sz val="10"/>
        <rFont val="宋体"/>
        <family val="3"/>
        <charset val="134"/>
      </rPr>
      <t>体育</t>
    </r>
    <r>
      <rPr>
        <sz val="10"/>
        <rFont val="Times New Roman"/>
        <family val="1"/>
      </rPr>
      <t>5</t>
    </r>
  </si>
  <si>
    <t>Physical Education 5</t>
  </si>
  <si>
    <r>
      <rPr>
        <sz val="10"/>
        <color theme="1"/>
        <rFont val="宋体"/>
        <family val="3"/>
        <charset val="134"/>
      </rPr>
      <t>俱乐部制</t>
    </r>
  </si>
  <si>
    <t>SP006A</t>
  </si>
  <si>
    <r>
      <rPr>
        <sz val="10"/>
        <rFont val="宋体"/>
        <family val="3"/>
        <charset val="134"/>
      </rPr>
      <t>体育</t>
    </r>
    <r>
      <rPr>
        <sz val="10"/>
        <rFont val="Times New Roman"/>
        <family val="1"/>
      </rPr>
      <t>6</t>
    </r>
  </si>
  <si>
    <t>Physical Education 6</t>
  </si>
  <si>
    <t>MS022A</t>
  </si>
  <si>
    <r>
      <rPr>
        <sz val="10"/>
        <color theme="1"/>
        <rFont val="宋体"/>
        <family val="3"/>
        <charset val="134"/>
      </rPr>
      <t>工程数学</t>
    </r>
  </si>
  <si>
    <t>Engineering Mathematics</t>
  </si>
  <si>
    <t>考试</t>
  </si>
  <si>
    <t>MS001B</t>
  </si>
  <si>
    <r>
      <rPr>
        <sz val="10"/>
        <color theme="1"/>
        <rFont val="宋体"/>
        <family val="3"/>
        <charset val="134"/>
      </rPr>
      <t>高等数学</t>
    </r>
    <r>
      <rPr>
        <sz val="10"/>
        <color theme="1"/>
        <rFont val="Times New Roman"/>
        <family val="1"/>
      </rPr>
      <t>1B</t>
    </r>
  </si>
  <si>
    <t>Advanced Mathematics 1B</t>
  </si>
  <si>
    <t>MS002B</t>
  </si>
  <si>
    <r>
      <rPr>
        <sz val="10"/>
        <color theme="1"/>
        <rFont val="宋体"/>
        <family val="3"/>
        <charset val="134"/>
      </rPr>
      <t>高等数学</t>
    </r>
    <r>
      <rPr>
        <sz val="10"/>
        <color theme="1"/>
        <rFont val="Times New Roman"/>
        <family val="1"/>
      </rPr>
      <t>2B</t>
    </r>
  </si>
  <si>
    <t>Advanced Mathematics 2B</t>
  </si>
  <si>
    <t>MS003B</t>
  </si>
  <si>
    <r>
      <rPr>
        <sz val="10"/>
        <color theme="1"/>
        <rFont val="宋体"/>
        <family val="3"/>
        <charset val="134"/>
      </rPr>
      <t>线性代数</t>
    </r>
    <r>
      <rPr>
        <sz val="10"/>
        <color theme="1"/>
        <rFont val="Times New Roman"/>
        <family val="1"/>
      </rPr>
      <t>B</t>
    </r>
  </si>
  <si>
    <t>Linear Algebra B</t>
  </si>
  <si>
    <t>MS004B</t>
  </si>
  <si>
    <r>
      <rPr>
        <sz val="10"/>
        <color theme="1"/>
        <rFont val="宋体"/>
        <family val="3"/>
        <charset val="134"/>
      </rPr>
      <t>概率论与数理统计</t>
    </r>
    <r>
      <rPr>
        <sz val="10"/>
        <color theme="1"/>
        <rFont val="Times New Roman"/>
        <family val="1"/>
      </rPr>
      <t>B</t>
    </r>
  </si>
  <si>
    <t>Probability Theory and Mathematical Statistics B</t>
  </si>
  <si>
    <t>PS002A</t>
  </si>
  <si>
    <r>
      <rPr>
        <sz val="10"/>
        <color theme="1"/>
        <rFont val="宋体"/>
        <family val="3"/>
        <charset val="134"/>
      </rPr>
      <t>大学物理</t>
    </r>
    <r>
      <rPr>
        <sz val="10"/>
        <color theme="1"/>
        <rFont val="Times New Roman"/>
        <family val="1"/>
      </rPr>
      <t>1A</t>
    </r>
  </si>
  <si>
    <t>College Physics 1A</t>
  </si>
  <si>
    <t>PS004A</t>
  </si>
  <si>
    <r>
      <rPr>
        <sz val="10"/>
        <color theme="1"/>
        <rFont val="宋体"/>
        <family val="3"/>
        <charset val="134"/>
      </rPr>
      <t>大学物理</t>
    </r>
    <r>
      <rPr>
        <sz val="10"/>
        <color theme="1"/>
        <rFont val="Times New Roman"/>
        <family val="1"/>
      </rPr>
      <t>2A</t>
    </r>
  </si>
  <si>
    <t>College Physics 2A</t>
  </si>
  <si>
    <t>PS005A</t>
  </si>
  <si>
    <r>
      <rPr>
        <sz val="10"/>
        <color theme="1"/>
        <rFont val="宋体"/>
        <family val="3"/>
        <charset val="134"/>
      </rPr>
      <t>大学物理实验</t>
    </r>
    <r>
      <rPr>
        <sz val="10"/>
        <color theme="1"/>
        <rFont val="Times New Roman"/>
        <family val="1"/>
      </rPr>
      <t>1</t>
    </r>
  </si>
  <si>
    <t>College Physics Experiment 1</t>
  </si>
  <si>
    <t>PS006A</t>
  </si>
  <si>
    <r>
      <rPr>
        <sz val="10"/>
        <color theme="1"/>
        <rFont val="宋体"/>
        <family val="3"/>
        <charset val="134"/>
      </rPr>
      <t>大学物理实验</t>
    </r>
    <r>
      <rPr>
        <sz val="10"/>
        <color theme="1"/>
        <rFont val="Times New Roman"/>
        <family val="1"/>
      </rPr>
      <t>2</t>
    </r>
  </si>
  <si>
    <t>College Physics Experiment 2</t>
  </si>
  <si>
    <t>下半学期</t>
  </si>
  <si>
    <t>上半学期</t>
  </si>
  <si>
    <t>EI500A</t>
  </si>
  <si>
    <r>
      <rPr>
        <sz val="9"/>
        <rFont val="宋体"/>
        <family val="3"/>
        <charset val="134"/>
      </rPr>
      <t>工程导论</t>
    </r>
  </si>
  <si>
    <t xml:space="preserve">Introduction to Engineering  </t>
  </si>
  <si>
    <r>
      <rPr>
        <sz val="9"/>
        <rFont val="宋体"/>
        <family val="3"/>
        <charset val="134"/>
      </rPr>
      <t>考查</t>
    </r>
  </si>
  <si>
    <r>
      <rPr>
        <sz val="9"/>
        <color theme="1"/>
        <rFont val="宋体"/>
        <family val="3"/>
        <charset val="134"/>
      </rPr>
      <t>上半学期</t>
    </r>
  </si>
  <si>
    <t>EI501A</t>
  </si>
  <si>
    <r>
      <rPr>
        <sz val="9"/>
        <rFont val="宋体"/>
        <family val="3"/>
        <charset val="134"/>
      </rPr>
      <t>工程导论实践项目</t>
    </r>
  </si>
  <si>
    <t>Introduction to Engineering  Project</t>
  </si>
  <si>
    <r>
      <rPr>
        <sz val="9"/>
        <color theme="1"/>
        <rFont val="宋体"/>
        <family val="3"/>
        <charset val="134"/>
      </rPr>
      <t>下半学期</t>
    </r>
  </si>
  <si>
    <t>EE002B</t>
  </si>
  <si>
    <r>
      <rPr>
        <sz val="9"/>
        <rFont val="宋体"/>
        <family val="3"/>
        <charset val="134"/>
      </rPr>
      <t>工程制图</t>
    </r>
    <r>
      <rPr>
        <sz val="9"/>
        <rFont val="Times New Roman"/>
        <family val="1"/>
      </rPr>
      <t>B</t>
    </r>
  </si>
  <si>
    <t>Engineering Drawing B</t>
  </si>
  <si>
    <r>
      <rPr>
        <sz val="9"/>
        <rFont val="宋体"/>
        <family val="3"/>
        <charset val="134"/>
      </rPr>
      <t>考试</t>
    </r>
  </si>
  <si>
    <t>CS002B</t>
  </si>
  <si>
    <r>
      <rPr>
        <sz val="9"/>
        <rFont val="Times New Roman"/>
        <family val="1"/>
      </rPr>
      <t>C</t>
    </r>
    <r>
      <rPr>
        <sz val="9"/>
        <rFont val="宋体"/>
        <family val="3"/>
        <charset val="134"/>
      </rPr>
      <t>语言程序设计</t>
    </r>
    <r>
      <rPr>
        <sz val="9"/>
        <rFont val="Times New Roman"/>
        <family val="1"/>
      </rPr>
      <t xml:space="preserve">B </t>
    </r>
  </si>
  <si>
    <t xml:space="preserve">C Language Programming B </t>
  </si>
  <si>
    <t>EI013A</t>
  </si>
  <si>
    <r>
      <rPr>
        <sz val="9"/>
        <rFont val="宋体"/>
        <family val="3"/>
        <charset val="134"/>
      </rPr>
      <t>数据结构与算法设计</t>
    </r>
    <r>
      <rPr>
        <sz val="9"/>
        <rFont val="Times New Roman"/>
        <family val="1"/>
      </rPr>
      <t>A</t>
    </r>
  </si>
  <si>
    <t>Data Structure and Algorithm Design A</t>
  </si>
  <si>
    <t>核心必修</t>
  </si>
  <si>
    <t>EI009B</t>
  </si>
  <si>
    <r>
      <rPr>
        <sz val="9"/>
        <rFont val="宋体"/>
        <family val="3"/>
        <charset val="134"/>
      </rPr>
      <t>电路分析基础</t>
    </r>
    <r>
      <rPr>
        <sz val="9"/>
        <rFont val="Times New Roman"/>
        <family val="1"/>
      </rPr>
      <t>B</t>
    </r>
  </si>
  <si>
    <t>Fundamentals of Circuit Analysis B</t>
  </si>
  <si>
    <t>EI002A</t>
  </si>
  <si>
    <t>EI004B</t>
  </si>
  <si>
    <t>Digital Circuit and Digital Logic Design B</t>
  </si>
  <si>
    <t>EI007A</t>
  </si>
  <si>
    <r>
      <rPr>
        <sz val="9"/>
        <rFont val="宋体"/>
        <family val="3"/>
        <charset val="134"/>
      </rPr>
      <t>信号与系统</t>
    </r>
    <r>
      <rPr>
        <sz val="9"/>
        <rFont val="Times New Roman"/>
        <family val="1"/>
      </rPr>
      <t>A</t>
    </r>
  </si>
  <si>
    <t>Signals and Systems A</t>
  </si>
  <si>
    <t>EI001A</t>
  </si>
  <si>
    <r>
      <rPr>
        <sz val="9"/>
        <rFont val="宋体"/>
        <family val="3"/>
        <charset val="134"/>
      </rPr>
      <t>微处理器与微计算机系统</t>
    </r>
    <r>
      <rPr>
        <sz val="9"/>
        <rFont val="Times New Roman"/>
        <family val="1"/>
      </rPr>
      <t>A</t>
    </r>
  </si>
  <si>
    <t>Microprocessors and Microcomputer System A</t>
  </si>
  <si>
    <t>EI010A</t>
  </si>
  <si>
    <r>
      <rPr>
        <sz val="9"/>
        <rFont val="宋体"/>
        <family val="3"/>
        <charset val="134"/>
      </rPr>
      <t>通信电子线路</t>
    </r>
    <r>
      <rPr>
        <sz val="9"/>
        <rFont val="Times New Roman"/>
        <family val="1"/>
      </rPr>
      <t>A</t>
    </r>
  </si>
  <si>
    <t>Communication Electronic Circuits A</t>
  </si>
  <si>
    <t>EI008B</t>
  </si>
  <si>
    <t>电磁场与电磁波B</t>
  </si>
  <si>
    <t>Electromagnetic Field and Wave B</t>
  </si>
  <si>
    <t>EI529A</t>
  </si>
  <si>
    <t>程序设计训练</t>
  </si>
  <si>
    <t>Programming Practice</t>
  </si>
  <si>
    <r>
      <rPr>
        <sz val="9"/>
        <rFont val="Times New Roman"/>
        <family val="1"/>
      </rPr>
      <t>1</t>
    </r>
    <r>
      <rPr>
        <sz val="9"/>
        <rFont val="宋体"/>
        <family val="3"/>
        <charset val="134"/>
      </rPr>
      <t>周</t>
    </r>
  </si>
  <si>
    <t>EI536A</t>
  </si>
  <si>
    <t>电子工艺实习</t>
  </si>
  <si>
    <t>Electronic Process Practice</t>
  </si>
  <si>
    <r>
      <rPr>
        <sz val="9"/>
        <rFont val="Times New Roman"/>
        <family val="1"/>
      </rPr>
      <t>2</t>
    </r>
    <r>
      <rPr>
        <sz val="9"/>
        <rFont val="宋体"/>
        <family val="3"/>
        <charset val="134"/>
      </rPr>
      <t>周</t>
    </r>
  </si>
  <si>
    <t>EI506A</t>
  </si>
  <si>
    <t xml:space="preserve">Integrated Electronics Design Project </t>
  </si>
  <si>
    <t>数字电路与逻辑设计B</t>
    <phoneticPr fontId="8" type="noConversion"/>
  </si>
  <si>
    <t>学科基础课</t>
    <phoneticPr fontId="8" type="noConversion"/>
  </si>
  <si>
    <t>专业基础课</t>
    <phoneticPr fontId="8" type="noConversion"/>
  </si>
  <si>
    <t>EI541A</t>
  </si>
  <si>
    <t>EI542A</t>
  </si>
  <si>
    <t>EI543A</t>
  </si>
  <si>
    <t>EI544A</t>
  </si>
  <si>
    <t>EI545A</t>
  </si>
  <si>
    <t>OT003A</t>
  </si>
  <si>
    <t>Basic Education of Innovation and Entrepreneurship</t>
  </si>
  <si>
    <t>EI011A</t>
  </si>
  <si>
    <r>
      <t>现代通信原理</t>
    </r>
    <r>
      <rPr>
        <sz val="9"/>
        <color rgb="FF000000"/>
        <rFont val="Times New Roman"/>
        <family val="1"/>
      </rPr>
      <t>A</t>
    </r>
  </si>
  <si>
    <t>Principles of Modern Communication System A</t>
  </si>
  <si>
    <t>EI505A</t>
  </si>
  <si>
    <t>数据通信与计算机网络</t>
  </si>
  <si>
    <t>Data Communication and Computer Networks</t>
  </si>
  <si>
    <t>EI520A</t>
  </si>
  <si>
    <t>Communication System and Network</t>
  </si>
  <si>
    <t>EI006A</t>
  </si>
  <si>
    <r>
      <t>数字信号处理</t>
    </r>
    <r>
      <rPr>
        <sz val="9"/>
        <color rgb="FF000000"/>
        <rFont val="Times New Roman"/>
        <family val="1"/>
      </rPr>
      <t>A</t>
    </r>
  </si>
  <si>
    <t>Digital Signal Processing A</t>
  </si>
  <si>
    <t>通信系统与网络（双语课）</t>
    <phoneticPr fontId="8" type="noConversion"/>
  </si>
  <si>
    <t>EI521A</t>
  </si>
  <si>
    <t>EI522A</t>
  </si>
  <si>
    <t>7-8</t>
    <phoneticPr fontId="8" type="noConversion"/>
  </si>
  <si>
    <t>EI507A</t>
  </si>
  <si>
    <t>EI509A</t>
  </si>
  <si>
    <t>移动通信</t>
  </si>
  <si>
    <t>Mobile Communication</t>
  </si>
  <si>
    <t>EI510A</t>
  </si>
  <si>
    <t>EI511A</t>
  </si>
  <si>
    <t>Integrated  Design Project of Wireless Communications</t>
  </si>
  <si>
    <t>EI515A</t>
  </si>
  <si>
    <t>Integrated  Design Project of Intellegent Communication Terminal</t>
  </si>
  <si>
    <t>CS003D</t>
  </si>
  <si>
    <t>Database System Principles and Application D</t>
  </si>
  <si>
    <t>EI518A</t>
  </si>
  <si>
    <t>EI519A</t>
  </si>
  <si>
    <t>Integrated  Design Project of Internet Software</t>
  </si>
  <si>
    <t>EI523A</t>
  </si>
  <si>
    <t>EI524A</t>
  </si>
  <si>
    <t>语音信号处理</t>
  </si>
  <si>
    <t>Acoustic Signal Processing</t>
  </si>
  <si>
    <t>EI534A</t>
  </si>
  <si>
    <t>AR/VR Technology</t>
  </si>
  <si>
    <t>EI527A</t>
    <phoneticPr fontId="8" type="noConversion"/>
  </si>
  <si>
    <t>EI528A</t>
  </si>
  <si>
    <t>Cloud Computing and Big Data</t>
  </si>
  <si>
    <t>机器学习</t>
    <phoneticPr fontId="8" type="noConversion"/>
  </si>
  <si>
    <t>数字图像处理与通信</t>
    <phoneticPr fontId="8" type="noConversion"/>
  </si>
  <si>
    <t>Machine Learning</t>
    <phoneticPr fontId="8" type="noConversion"/>
  </si>
  <si>
    <t>Digital Image Processing and Communication</t>
    <phoneticPr fontId="8" type="noConversion"/>
  </si>
  <si>
    <t>考查</t>
    <phoneticPr fontId="8" type="noConversion"/>
  </si>
  <si>
    <t>软件无线电</t>
    <phoneticPr fontId="8" type="noConversion"/>
  </si>
  <si>
    <t>Software Defined Radio</t>
    <phoneticPr fontId="8" type="noConversion"/>
  </si>
  <si>
    <t>小计</t>
    <phoneticPr fontId="8" type="noConversion"/>
  </si>
  <si>
    <t>现代气象通信技术</t>
    <phoneticPr fontId="8" type="noConversion"/>
  </si>
  <si>
    <t>Modern Meteorological Communication Technology</t>
    <phoneticPr fontId="8" type="noConversion"/>
  </si>
  <si>
    <t>上半学期</t>
    <phoneticPr fontId="8" type="noConversion"/>
  </si>
  <si>
    <t>专业课程</t>
    <phoneticPr fontId="8" type="noConversion"/>
  </si>
  <si>
    <t>模拟电子技术A</t>
    <phoneticPr fontId="8" type="noConversion"/>
  </si>
  <si>
    <t>Analog Electronic Technology A</t>
    <phoneticPr fontId="8" type="noConversion"/>
  </si>
  <si>
    <t>1</t>
    <phoneticPr fontId="8" type="noConversion"/>
  </si>
  <si>
    <t>EI502A</t>
    <phoneticPr fontId="8" type="noConversion"/>
  </si>
  <si>
    <t>专业教育A</t>
    <phoneticPr fontId="8" type="noConversion"/>
  </si>
  <si>
    <t>Professional Education A</t>
    <phoneticPr fontId="8" type="noConversion"/>
  </si>
  <si>
    <t>工程实践1（构思：文献检索与文档写作）</t>
    <phoneticPr fontId="8" type="noConversion"/>
  </si>
  <si>
    <t>工程实践3（实施：功能实现）</t>
    <phoneticPr fontId="8" type="noConversion"/>
  </si>
  <si>
    <t>工程实践4（运行：测试与管理）</t>
    <phoneticPr fontId="8" type="noConversion"/>
  </si>
  <si>
    <t>工程实践5（总结：展示与产品经济学）</t>
    <phoneticPr fontId="8" type="noConversion"/>
  </si>
  <si>
    <t>EI615A</t>
    <phoneticPr fontId="8" type="noConversion"/>
  </si>
  <si>
    <t>EI526A</t>
    <phoneticPr fontId="8" type="noConversion"/>
  </si>
  <si>
    <t xml:space="preserve">Python Language Programming </t>
    <phoneticPr fontId="8" type="noConversion"/>
  </si>
  <si>
    <t>选修</t>
    <phoneticPr fontId="8" type="noConversion"/>
  </si>
  <si>
    <t>微波通信方向</t>
    <phoneticPr fontId="8" type="noConversion"/>
  </si>
  <si>
    <t>微波通信综合设计项目</t>
    <phoneticPr fontId="8" type="noConversion"/>
  </si>
  <si>
    <t>天线原理</t>
  </si>
  <si>
    <t>Antenna Theory</t>
  </si>
  <si>
    <t>微波技术</t>
  </si>
  <si>
    <t>Microwave Technology</t>
  </si>
  <si>
    <t>云端通信方向</t>
    <phoneticPr fontId="8" type="noConversion"/>
  </si>
  <si>
    <t>下半学期</t>
    <phoneticPr fontId="8" type="noConversion"/>
  </si>
  <si>
    <t>云端通信综合设计项目</t>
    <phoneticPr fontId="8" type="noConversion"/>
  </si>
  <si>
    <t>EI525A</t>
    <phoneticPr fontId="8" type="noConversion"/>
  </si>
  <si>
    <t>EI012B</t>
  </si>
  <si>
    <t>Embedded System Design B</t>
  </si>
  <si>
    <t>通信终端方向</t>
    <phoneticPr fontId="8" type="noConversion"/>
  </si>
  <si>
    <t>通信终端综合设计项目</t>
    <phoneticPr fontId="8" type="noConversion"/>
  </si>
  <si>
    <t>核心必修</t>
    <phoneticPr fontId="8" type="noConversion"/>
  </si>
  <si>
    <t>5G Network Planning and Deployment</t>
    <phoneticPr fontId="8" type="noConversion"/>
  </si>
  <si>
    <t>集成电路原理与应用</t>
    <phoneticPr fontId="8" type="noConversion"/>
  </si>
  <si>
    <t>IC Principle and Applications</t>
    <phoneticPr fontId="8" type="noConversion"/>
  </si>
  <si>
    <t>EI516A</t>
    <phoneticPr fontId="8" type="noConversion"/>
  </si>
  <si>
    <t>Linux Operation System</t>
    <phoneticPr fontId="8" type="noConversion"/>
  </si>
  <si>
    <t>EI530A</t>
    <phoneticPr fontId="8" type="noConversion"/>
  </si>
  <si>
    <r>
      <t>Engineering Practice 1(Conceive</t>
    </r>
    <r>
      <rPr>
        <sz val="9"/>
        <rFont val="宋体"/>
        <family val="3"/>
        <charset val="134"/>
      </rPr>
      <t>：</t>
    </r>
    <r>
      <rPr>
        <sz val="9"/>
        <rFont val="Times New Roman"/>
        <family val="1"/>
      </rPr>
      <t>Literature retrieval and writing)</t>
    </r>
    <phoneticPr fontId="8" type="noConversion"/>
  </si>
  <si>
    <r>
      <t>Engineering Practice 2(Design</t>
    </r>
    <r>
      <rPr>
        <sz val="9"/>
        <rFont val="宋体"/>
        <family val="3"/>
        <charset val="134"/>
      </rPr>
      <t>：</t>
    </r>
    <r>
      <rPr>
        <sz val="9"/>
        <rFont val="Times New Roman"/>
        <family val="1"/>
      </rPr>
      <t>Professional EDA)</t>
    </r>
    <phoneticPr fontId="8" type="noConversion"/>
  </si>
  <si>
    <r>
      <t>Engineering Practice 3(Implement</t>
    </r>
    <r>
      <rPr>
        <sz val="9"/>
        <rFont val="宋体"/>
        <family val="3"/>
        <charset val="134"/>
      </rPr>
      <t>：</t>
    </r>
    <r>
      <rPr>
        <sz val="9"/>
        <rFont val="Times New Roman"/>
        <family val="1"/>
      </rPr>
      <t>Function realization)</t>
    </r>
    <phoneticPr fontId="8" type="noConversion"/>
  </si>
  <si>
    <r>
      <t>Engineering Practice 4(Operation</t>
    </r>
    <r>
      <rPr>
        <sz val="9"/>
        <rFont val="宋体"/>
        <family val="3"/>
        <charset val="134"/>
      </rPr>
      <t>：</t>
    </r>
    <r>
      <rPr>
        <sz val="9"/>
        <rFont val="Times New Roman"/>
        <family val="1"/>
      </rPr>
      <t>Test and Manage)</t>
    </r>
    <phoneticPr fontId="8" type="noConversion"/>
  </si>
  <si>
    <r>
      <t>Engineering Practice 5(Summary</t>
    </r>
    <r>
      <rPr>
        <sz val="9"/>
        <rFont val="宋体"/>
        <family val="3"/>
        <charset val="134"/>
      </rPr>
      <t>：</t>
    </r>
    <r>
      <rPr>
        <sz val="9"/>
        <rFont val="Times New Roman"/>
        <family val="1"/>
      </rPr>
      <t>Presentation and Producat economicas)</t>
    </r>
    <phoneticPr fontId="8" type="noConversion"/>
  </si>
  <si>
    <r>
      <t>嵌入式系统设计</t>
    </r>
    <r>
      <rPr>
        <sz val="9"/>
        <rFont val="Times New Roman"/>
        <family val="1"/>
      </rPr>
      <t>B</t>
    </r>
  </si>
  <si>
    <r>
      <t>Linux</t>
    </r>
    <r>
      <rPr>
        <sz val="9"/>
        <rFont val="方正书宋简体"/>
        <charset val="134"/>
      </rPr>
      <t>操作系统</t>
    </r>
    <phoneticPr fontId="8" type="noConversion"/>
  </si>
  <si>
    <r>
      <t>C++</t>
    </r>
    <r>
      <rPr>
        <sz val="9"/>
        <rFont val="宋体"/>
        <family val="3"/>
        <charset val="134"/>
      </rPr>
      <t>程序设计及应用</t>
    </r>
    <phoneticPr fontId="8" type="noConversion"/>
  </si>
  <si>
    <t>六类通识教育选修课程</t>
    <phoneticPr fontId="8" type="noConversion"/>
  </si>
  <si>
    <t>OT002A</t>
  </si>
  <si>
    <t>人生规划与职前教育</t>
  </si>
  <si>
    <t>OT007A</t>
  </si>
  <si>
    <t>就业指导</t>
  </si>
  <si>
    <t>Life Planning and Pre-vocational Education</t>
    <phoneticPr fontId="8" type="noConversion"/>
  </si>
  <si>
    <t>Career Guidance</t>
    <phoneticPr fontId="8" type="noConversion"/>
  </si>
  <si>
    <t>必选</t>
    <phoneticPr fontId="8" type="noConversion"/>
  </si>
  <si>
    <t>通识选修</t>
    <phoneticPr fontId="8" type="noConversion"/>
  </si>
  <si>
    <t>OT006A</t>
  </si>
  <si>
    <t>创新、发明与知识产权实务</t>
  </si>
  <si>
    <t xml:space="preserve">Innovation, Invention and Practice of Intellectual Property </t>
  </si>
  <si>
    <t>创新创业教育基础</t>
  </si>
  <si>
    <t>2</t>
  </si>
  <si>
    <t>合计</t>
    <phoneticPr fontId="8" type="noConversion"/>
  </si>
  <si>
    <t>无学期</t>
    <phoneticPr fontId="8" type="noConversion"/>
  </si>
  <si>
    <t>学期</t>
    <phoneticPr fontId="8" type="noConversion"/>
  </si>
  <si>
    <t>学分</t>
    <phoneticPr fontId="8" type="noConversion"/>
  </si>
  <si>
    <t>云计算与大数据</t>
    <phoneticPr fontId="8" type="noConversion"/>
  </si>
  <si>
    <t>电子技术综合设计项目A</t>
    <phoneticPr fontId="8" type="noConversion"/>
  </si>
  <si>
    <t>通信工程学院（微电子学院）</t>
    <phoneticPr fontId="8" type="noConversion"/>
  </si>
  <si>
    <t>通信工程</t>
    <phoneticPr fontId="8" type="noConversion"/>
  </si>
  <si>
    <t>工程实践2（设计：专业EDA）</t>
    <phoneticPr fontId="8" type="noConversion"/>
  </si>
  <si>
    <r>
      <t>Verilog HDL</t>
    </r>
    <r>
      <rPr>
        <sz val="9"/>
        <rFont val="宋体"/>
        <family val="3"/>
        <charset val="134"/>
      </rPr>
      <t>语言与</t>
    </r>
    <r>
      <rPr>
        <sz val="9"/>
        <rFont val="Times New Roman"/>
        <family val="1"/>
      </rPr>
      <t>FPGA</t>
    </r>
    <r>
      <rPr>
        <sz val="9"/>
        <rFont val="宋体"/>
        <family val="3"/>
        <charset val="134"/>
      </rPr>
      <t>技术</t>
    </r>
    <phoneticPr fontId="8" type="noConversion"/>
  </si>
  <si>
    <t xml:space="preserve">Verilog HDL language and FPGA Technology </t>
    <phoneticPr fontId="8" type="noConversion"/>
  </si>
  <si>
    <t>EI602A</t>
    <phoneticPr fontId="8" type="noConversion"/>
  </si>
  <si>
    <t xml:space="preserve">C++Progamming and Application </t>
    <phoneticPr fontId="8" type="noConversion"/>
  </si>
  <si>
    <r>
      <rPr>
        <sz val="9"/>
        <color theme="1"/>
        <rFont val="宋体"/>
        <family val="3"/>
        <charset val="134"/>
      </rPr>
      <t>考查</t>
    </r>
  </si>
  <si>
    <r>
      <t>2</t>
    </r>
    <r>
      <rPr>
        <sz val="9"/>
        <color theme="1"/>
        <rFont val="宋体"/>
        <family val="3"/>
        <charset val="134"/>
      </rPr>
      <t>周</t>
    </r>
    <phoneticPr fontId="8" type="noConversion"/>
  </si>
  <si>
    <r>
      <t>12</t>
    </r>
    <r>
      <rPr>
        <sz val="9"/>
        <color theme="1"/>
        <rFont val="方正书宋简体"/>
        <family val="3"/>
        <charset val="134"/>
      </rPr>
      <t>周</t>
    </r>
  </si>
  <si>
    <r>
      <rPr>
        <sz val="9"/>
        <color theme="1"/>
        <rFont val="方正书宋简体"/>
        <charset val="134"/>
      </rPr>
      <t>选修</t>
    </r>
  </si>
  <si>
    <r>
      <rPr>
        <sz val="9"/>
        <color theme="1"/>
        <rFont val="方正书宋简体"/>
        <charset val="134"/>
      </rPr>
      <t>考查</t>
    </r>
    <phoneticPr fontId="8" type="noConversion"/>
  </si>
  <si>
    <r>
      <t>5G</t>
    </r>
    <r>
      <rPr>
        <sz val="9"/>
        <color theme="1"/>
        <rFont val="宋体"/>
        <family val="3"/>
        <charset val="134"/>
      </rPr>
      <t>网络规划与部署</t>
    </r>
    <phoneticPr fontId="8" type="noConversion"/>
  </si>
  <si>
    <r>
      <t>Python</t>
    </r>
    <r>
      <rPr>
        <sz val="10"/>
        <color theme="1"/>
        <rFont val="宋体"/>
        <family val="3"/>
        <charset val="134"/>
      </rPr>
      <t>程序设计</t>
    </r>
    <phoneticPr fontId="8" type="noConversion"/>
  </si>
  <si>
    <r>
      <t>AR/VR</t>
    </r>
    <r>
      <rPr>
        <sz val="9"/>
        <color theme="1"/>
        <rFont val="方正书宋简体"/>
        <family val="3"/>
        <charset val="134"/>
      </rPr>
      <t>技术</t>
    </r>
  </si>
  <si>
    <r>
      <t>数据库原理及应用</t>
    </r>
    <r>
      <rPr>
        <sz val="9"/>
        <color theme="1"/>
        <rFont val="Times New Roman"/>
        <family val="1"/>
      </rPr>
      <t>D</t>
    </r>
    <phoneticPr fontId="8" type="noConversion"/>
  </si>
  <si>
    <t>参见成都信息工程大学通识教育选修课程修读说明，其中《人生规划与职前教育》，《就业指导》为必选课程。</t>
    <phoneticPr fontId="8" type="noConversion"/>
  </si>
  <si>
    <t>参见成都信息工程大学通信工程学院（微电子学院）创新创业学分说明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</si>
</sst>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;[Red]0.00"/>
  </numFmts>
  <fonts count="34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Times New Roman"/>
      <family val="1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8"/>
      <name val="宋体"/>
      <family val="3"/>
      <charset val="134"/>
    </font>
    <font>
      <b/>
      <sz val="14"/>
      <name val="宋体"/>
      <family val="3"/>
      <charset val="134"/>
    </font>
    <font>
      <b/>
      <sz val="14"/>
      <name val="Times New Roman"/>
      <family val="1"/>
    </font>
    <font>
      <b/>
      <sz val="18"/>
      <name val="Times New Roman"/>
      <family val="1"/>
    </font>
    <font>
      <b/>
      <sz val="9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宋体"/>
      <family val="3"/>
      <charset val="134"/>
    </font>
    <font>
      <sz val="9"/>
      <color theme="1"/>
      <name val="Times New Roman"/>
      <family val="1"/>
    </font>
    <font>
      <sz val="9"/>
      <color theme="1"/>
      <name val="宋体"/>
      <family val="3"/>
      <charset val="134"/>
    </font>
    <font>
      <sz val="8"/>
      <color theme="1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方正书宋简体"/>
      <family val="3"/>
      <charset val="134"/>
    </font>
    <font>
      <sz val="9"/>
      <color rgb="FF000000"/>
      <name val="宋体"/>
      <family val="3"/>
      <charset val="134"/>
    </font>
    <font>
      <sz val="9"/>
      <name val="方正书宋简体"/>
      <family val="3"/>
      <charset val="134"/>
    </font>
    <font>
      <sz val="9"/>
      <name val="方正书宋简体"/>
      <charset val="134"/>
    </font>
    <font>
      <sz val="11"/>
      <color rgb="FFFF0000"/>
      <name val="宋体"/>
      <family val="3"/>
      <charset val="134"/>
      <scheme val="minor"/>
    </font>
    <font>
      <sz val="9"/>
      <color theme="1"/>
      <name val="方正书宋简体"/>
      <family val="3"/>
      <charset val="134"/>
    </font>
    <font>
      <sz val="10"/>
      <color theme="1"/>
      <name val="Times New Roman"/>
      <family val="3"/>
      <charset val="134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1"/>
      <charset val="134"/>
    </font>
    <font>
      <sz val="9"/>
      <color theme="1"/>
      <name val="Times New Roman"/>
      <family val="1"/>
      <charset val="134"/>
    </font>
    <font>
      <b/>
      <sz val="9"/>
      <color theme="1"/>
      <name val="Times New Roman"/>
      <family val="1"/>
    </font>
    <font>
      <sz val="9"/>
      <color theme="1"/>
      <name val="方正书宋简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754325998718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6" fillId="0" borderId="0">
      <alignment vertical="center"/>
    </xf>
    <xf numFmtId="0" fontId="6" fillId="0" borderId="0"/>
    <xf numFmtId="0" fontId="6" fillId="0" borderId="0"/>
  </cellStyleXfs>
  <cellXfs count="196">
    <xf numFmtId="0" fontId="0" fillId="0" borderId="0" xfId="0"/>
    <xf numFmtId="0" fontId="1" fillId="0" borderId="0" xfId="0" applyFont="1" applyBorder="1"/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9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5" fillId="0" borderId="7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vertical="center" wrapText="1"/>
    </xf>
    <xf numFmtId="0" fontId="16" fillId="0" borderId="2" xfId="0" applyFont="1" applyBorder="1" applyAlignment="1">
      <alignment horizontal="left" vertical="center" wrapText="1"/>
    </xf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vertical="center" wrapText="1"/>
    </xf>
    <xf numFmtId="0" fontId="17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/>
    <xf numFmtId="0" fontId="18" fillId="0" borderId="8" xfId="0" applyFont="1" applyBorder="1" applyAlignment="1">
      <alignment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left" vertical="center" wrapText="1"/>
    </xf>
    <xf numFmtId="0" fontId="3" fillId="2" borderId="11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0" fillId="0" borderId="0" xfId="0" applyFill="1"/>
    <xf numFmtId="0" fontId="2" fillId="0" borderId="2" xfId="0" applyFont="1" applyFill="1" applyBorder="1" applyAlignment="1">
      <alignment horizontal="justify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2" xfId="0" applyFont="1" applyFill="1" applyBorder="1"/>
    <xf numFmtId="0" fontId="18" fillId="0" borderId="8" xfId="0" applyFont="1" applyFill="1" applyBorder="1" applyAlignment="1">
      <alignment vertical="center" wrapText="1"/>
    </xf>
    <xf numFmtId="0" fontId="19" fillId="0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49" fontId="2" fillId="0" borderId="8" xfId="0" applyNumberFormat="1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vertical="center" wrapText="1"/>
    </xf>
    <xf numFmtId="0" fontId="20" fillId="0" borderId="8" xfId="0" applyFont="1" applyFill="1" applyBorder="1" applyAlignment="1">
      <alignment vertical="center" wrapText="1"/>
    </xf>
    <xf numFmtId="0" fontId="18" fillId="0" borderId="2" xfId="3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horizontal="justify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Border="1"/>
    <xf numFmtId="0" fontId="2" fillId="0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justify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quotePrefix="1" applyNumberFormat="1" applyFont="1" applyBorder="1" applyAlignment="1">
      <alignment horizontal="center" vertical="center" wrapText="1"/>
    </xf>
    <xf numFmtId="0" fontId="9" fillId="0" borderId="4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left" vertical="center" wrapText="1"/>
    </xf>
    <xf numFmtId="0" fontId="21" fillId="0" borderId="2" xfId="0" applyFont="1" applyFill="1" applyBorder="1" applyAlignment="1">
      <alignment horizontal="left" vertical="center" wrapText="1"/>
    </xf>
    <xf numFmtId="0" fontId="24" fillId="0" borderId="2" xfId="0" applyFont="1" applyFill="1" applyBorder="1" applyAlignment="1">
      <alignment horizontal="left" vertical="center" wrapText="1"/>
    </xf>
    <xf numFmtId="0" fontId="26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27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Fill="1"/>
    <xf numFmtId="0" fontId="21" fillId="0" borderId="12" xfId="0" applyFont="1" applyFill="1" applyBorder="1" applyAlignment="1">
      <alignment horizontal="center" vertical="center" wrapText="1"/>
    </xf>
    <xf numFmtId="0" fontId="6" fillId="0" borderId="0" xfId="0" applyFont="1" applyFill="1" applyBorder="1"/>
    <xf numFmtId="0" fontId="25" fillId="0" borderId="2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8" fillId="0" borderId="2" xfId="0" applyFont="1" applyFill="1" applyBorder="1" applyAlignment="1">
      <alignment horizontal="left" vertical="center" wrapText="1"/>
    </xf>
    <xf numFmtId="0" fontId="15" fillId="0" borderId="2" xfId="0" applyFont="1" applyFill="1" applyBorder="1" applyAlignment="1">
      <alignment horizontal="left" vertical="center" wrapText="1"/>
    </xf>
    <xf numFmtId="0" fontId="29" fillId="0" borderId="2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49" fontId="15" fillId="0" borderId="2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vertical="center"/>
    </xf>
    <xf numFmtId="0" fontId="17" fillId="0" borderId="2" xfId="0" applyFont="1" applyFill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6" fillId="0" borderId="2" xfId="0" applyFont="1" applyBorder="1"/>
    <xf numFmtId="0" fontId="32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vertical="center" wrapText="1"/>
    </xf>
    <xf numFmtId="0" fontId="27" fillId="0" borderId="2" xfId="0" applyFont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6" fillId="0" borderId="3" xfId="0" applyFont="1" applyBorder="1"/>
    <xf numFmtId="176" fontId="18" fillId="0" borderId="2" xfId="0" quotePrefix="1" applyNumberFormat="1" applyFont="1" applyBorder="1" applyAlignment="1">
      <alignment horizontal="center" vertical="center" wrapText="1"/>
    </xf>
    <xf numFmtId="0" fontId="33" fillId="0" borderId="2" xfId="0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left" vertical="center"/>
    </xf>
    <xf numFmtId="0" fontId="33" fillId="0" borderId="2" xfId="0" applyFont="1" applyFill="1" applyBorder="1" applyAlignment="1">
      <alignment horizontal="left" vertical="center"/>
    </xf>
    <xf numFmtId="0" fontId="19" fillId="0" borderId="2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left" vertical="center" wrapText="1"/>
    </xf>
    <xf numFmtId="0" fontId="27" fillId="0" borderId="2" xfId="0" applyFont="1" applyFill="1" applyBorder="1" applyAlignment="1">
      <alignment horizontal="left" vertical="center" wrapText="1"/>
    </xf>
    <xf numFmtId="0" fontId="19" fillId="2" borderId="2" xfId="0" applyFont="1" applyFill="1" applyBorder="1" applyAlignment="1">
      <alignment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5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left" vertical="center" wrapText="1"/>
    </xf>
  </cellXfs>
  <cellStyles count="4">
    <cellStyle name="常规" xfId="0" builtinId="0"/>
    <cellStyle name="常规 2" xfId="1" xr:uid="{00000000-0005-0000-0000-000001000000}"/>
    <cellStyle name="常规 3" xfId="2" xr:uid="{00000000-0005-0000-0000-000002000000}"/>
    <cellStyle name="常规 3 2" xfId="3" xr:uid="{E85342FE-957A-4E72-A35A-229D66DCB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5"/>
  <sheetViews>
    <sheetView tabSelected="1" zoomScaleNormal="100" workbookViewId="0">
      <pane xSplit="3" ySplit="5" topLeftCell="D96" activePane="bottomRight" state="frozenSplit"/>
      <selection pane="topRight"/>
      <selection pane="bottomLeft"/>
      <selection pane="bottomRight" activeCell="E67" sqref="E67"/>
    </sheetView>
  </sheetViews>
  <sheetFormatPr defaultColWidth="9" defaultRowHeight="14.4"/>
  <cols>
    <col min="1" max="1" width="4" style="1" customWidth="1"/>
    <col min="2" max="2" width="4.44140625" style="1" customWidth="1"/>
    <col min="3" max="3" width="4.33203125" style="2" customWidth="1"/>
    <col min="4" max="4" width="12.33203125" style="2" customWidth="1"/>
    <col min="5" max="5" width="31" customWidth="1"/>
    <col min="6" max="6" width="24.109375" customWidth="1"/>
    <col min="7" max="7" width="5.33203125" customWidth="1"/>
    <col min="8" max="8" width="5" customWidth="1"/>
    <col min="9" max="9" width="5.33203125" customWidth="1"/>
    <col min="10" max="10" width="5" customWidth="1"/>
    <col min="11" max="14" width="5.88671875" customWidth="1"/>
    <col min="15" max="15" width="8.88671875" customWidth="1"/>
    <col min="17" max="17" width="35.44140625" style="85" customWidth="1"/>
    <col min="18" max="18" width="11.44140625" customWidth="1"/>
    <col min="19" max="19" width="19.109375" customWidth="1"/>
  </cols>
  <sheetData>
    <row r="1" spans="1:19" ht="15.75" customHeight="1">
      <c r="A1" s="138" t="s">
        <v>26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</row>
    <row r="2" spans="1:19" ht="27" customHeight="1">
      <c r="A2" s="139" t="s">
        <v>46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</row>
    <row r="3" spans="1:19" ht="24" customHeight="1">
      <c r="A3" s="140" t="s">
        <v>0</v>
      </c>
      <c r="B3" s="141"/>
      <c r="C3" s="142" t="s">
        <v>316</v>
      </c>
      <c r="D3" s="143"/>
      <c r="E3" s="143"/>
      <c r="F3" s="7" t="s">
        <v>1</v>
      </c>
      <c r="G3" s="144" t="s">
        <v>317</v>
      </c>
      <c r="H3" s="145"/>
      <c r="I3" s="145"/>
      <c r="J3" s="145"/>
      <c r="K3" s="145"/>
      <c r="L3" s="145"/>
      <c r="M3" s="145"/>
      <c r="N3" s="145"/>
      <c r="O3" s="145"/>
      <c r="P3" s="145"/>
    </row>
    <row r="4" spans="1:19" ht="13.5" customHeight="1">
      <c r="A4" s="178" t="s">
        <v>27</v>
      </c>
      <c r="B4" s="178"/>
      <c r="C4" s="178"/>
      <c r="D4" s="191" t="s">
        <v>2</v>
      </c>
      <c r="E4" s="178" t="s">
        <v>28</v>
      </c>
      <c r="F4" s="178" t="s">
        <v>29</v>
      </c>
      <c r="G4" s="178" t="s">
        <v>30</v>
      </c>
      <c r="H4" s="178" t="s">
        <v>31</v>
      </c>
      <c r="I4" s="178" t="s">
        <v>3</v>
      </c>
      <c r="J4" s="178" t="s">
        <v>32</v>
      </c>
      <c r="K4" s="178" t="s">
        <v>33</v>
      </c>
      <c r="L4" s="178"/>
      <c r="M4" s="178"/>
      <c r="N4" s="178"/>
      <c r="O4" s="178" t="s">
        <v>34</v>
      </c>
      <c r="P4" s="179" t="s">
        <v>4</v>
      </c>
      <c r="Q4" s="83"/>
      <c r="R4" s="82"/>
      <c r="S4" s="82"/>
    </row>
    <row r="5" spans="1:19">
      <c r="A5" s="178"/>
      <c r="B5" s="178"/>
      <c r="C5" s="178"/>
      <c r="D5" s="192"/>
      <c r="E5" s="178"/>
      <c r="F5" s="178"/>
      <c r="G5" s="178"/>
      <c r="H5" s="178"/>
      <c r="I5" s="178"/>
      <c r="J5" s="178"/>
      <c r="K5" s="8" t="s">
        <v>35</v>
      </c>
      <c r="L5" s="8" t="s">
        <v>36</v>
      </c>
      <c r="M5" s="8" t="s">
        <v>37</v>
      </c>
      <c r="N5" s="8" t="s">
        <v>38</v>
      </c>
      <c r="O5" s="178"/>
      <c r="P5" s="178"/>
    </row>
    <row r="6" spans="1:19" ht="28.5" customHeight="1">
      <c r="A6" s="177" t="s">
        <v>5</v>
      </c>
      <c r="B6" s="177" t="s">
        <v>6</v>
      </c>
      <c r="C6" s="158" t="s">
        <v>7</v>
      </c>
      <c r="D6" s="25" t="s">
        <v>47</v>
      </c>
      <c r="E6" s="26" t="s">
        <v>48</v>
      </c>
      <c r="F6" s="27" t="s">
        <v>49</v>
      </c>
      <c r="G6" s="21">
        <v>3</v>
      </c>
      <c r="H6" s="21" t="s">
        <v>50</v>
      </c>
      <c r="I6" s="21" t="s">
        <v>51</v>
      </c>
      <c r="J6" s="21">
        <v>48</v>
      </c>
      <c r="K6" s="21">
        <v>42</v>
      </c>
      <c r="L6" s="28"/>
      <c r="M6" s="21">
        <v>6</v>
      </c>
      <c r="N6" s="21"/>
      <c r="O6" s="22">
        <v>1</v>
      </c>
      <c r="P6" s="10"/>
    </row>
    <row r="7" spans="1:19" ht="21.75" customHeight="1">
      <c r="A7" s="169"/>
      <c r="B7" s="169"/>
      <c r="C7" s="158"/>
      <c r="D7" s="29" t="s">
        <v>52</v>
      </c>
      <c r="E7" s="30" t="s">
        <v>53</v>
      </c>
      <c r="F7" s="27" t="s">
        <v>54</v>
      </c>
      <c r="G7" s="21">
        <v>3</v>
      </c>
      <c r="H7" s="21" t="s">
        <v>50</v>
      </c>
      <c r="I7" s="21" t="s">
        <v>55</v>
      </c>
      <c r="J7" s="21">
        <v>48</v>
      </c>
      <c r="K7" s="21">
        <v>42</v>
      </c>
      <c r="L7" s="28"/>
      <c r="M7" s="21">
        <v>6</v>
      </c>
      <c r="N7" s="21"/>
      <c r="O7" s="22">
        <v>2</v>
      </c>
      <c r="P7" s="10"/>
    </row>
    <row r="8" spans="1:19" ht="22.65" customHeight="1">
      <c r="A8" s="169"/>
      <c r="B8" s="169"/>
      <c r="C8" s="158"/>
      <c r="D8" s="29" t="s">
        <v>56</v>
      </c>
      <c r="E8" s="30" t="s">
        <v>57</v>
      </c>
      <c r="F8" s="27" t="s">
        <v>58</v>
      </c>
      <c r="G8" s="21">
        <v>3</v>
      </c>
      <c r="H8" s="21" t="s">
        <v>50</v>
      </c>
      <c r="I8" s="21" t="s">
        <v>55</v>
      </c>
      <c r="J8" s="21">
        <v>48</v>
      </c>
      <c r="K8" s="21">
        <v>42</v>
      </c>
      <c r="L8" s="21"/>
      <c r="M8" s="21">
        <v>6</v>
      </c>
      <c r="N8" s="21"/>
      <c r="O8" s="22">
        <v>4</v>
      </c>
      <c r="P8" s="10"/>
    </row>
    <row r="9" spans="1:19" ht="42.75" customHeight="1">
      <c r="A9" s="169"/>
      <c r="B9" s="169"/>
      <c r="C9" s="158"/>
      <c r="D9" s="29" t="s">
        <v>59</v>
      </c>
      <c r="E9" s="20" t="s">
        <v>60</v>
      </c>
      <c r="F9" s="27" t="s">
        <v>61</v>
      </c>
      <c r="G9" s="21">
        <v>2.5</v>
      </c>
      <c r="H9" s="21" t="s">
        <v>50</v>
      </c>
      <c r="I9" s="21" t="s">
        <v>51</v>
      </c>
      <c r="J9" s="21">
        <v>40</v>
      </c>
      <c r="K9" s="21">
        <v>36</v>
      </c>
      <c r="L9" s="21"/>
      <c r="M9" s="21">
        <v>4</v>
      </c>
      <c r="N9" s="21"/>
      <c r="O9" s="22">
        <v>5</v>
      </c>
      <c r="P9" s="10"/>
    </row>
    <row r="10" spans="1:19" ht="45" customHeight="1">
      <c r="A10" s="169"/>
      <c r="B10" s="169"/>
      <c r="C10" s="158"/>
      <c r="D10" s="29" t="s">
        <v>62</v>
      </c>
      <c r="E10" s="20" t="s">
        <v>63</v>
      </c>
      <c r="F10" s="27" t="s">
        <v>64</v>
      </c>
      <c r="G10" s="21">
        <v>2.5</v>
      </c>
      <c r="H10" s="21" t="s">
        <v>50</v>
      </c>
      <c r="I10" s="21" t="s">
        <v>55</v>
      </c>
      <c r="J10" s="21">
        <v>40</v>
      </c>
      <c r="K10" s="21">
        <v>34</v>
      </c>
      <c r="L10" s="21"/>
      <c r="M10" s="21">
        <v>6</v>
      </c>
      <c r="N10" s="21"/>
      <c r="O10" s="22">
        <v>6</v>
      </c>
      <c r="P10" s="10"/>
    </row>
    <row r="11" spans="1:19" ht="22.65" customHeight="1">
      <c r="A11" s="169"/>
      <c r="B11" s="169"/>
      <c r="C11" s="158"/>
      <c r="D11" s="29" t="s">
        <v>65</v>
      </c>
      <c r="E11" s="20" t="s">
        <v>66</v>
      </c>
      <c r="F11" s="27" t="s">
        <v>67</v>
      </c>
      <c r="G11" s="21">
        <v>0.5</v>
      </c>
      <c r="H11" s="21" t="s">
        <v>50</v>
      </c>
      <c r="I11" s="21" t="s">
        <v>51</v>
      </c>
      <c r="J11" s="21">
        <v>8</v>
      </c>
      <c r="K11" s="21">
        <v>8</v>
      </c>
      <c r="L11" s="21"/>
      <c r="M11" s="21"/>
      <c r="N11" s="21"/>
      <c r="O11" s="21">
        <v>2</v>
      </c>
      <c r="P11" s="10"/>
    </row>
    <row r="12" spans="1:19" ht="22.65" customHeight="1">
      <c r="A12" s="169"/>
      <c r="B12" s="169"/>
      <c r="C12" s="158"/>
      <c r="D12" s="29" t="s">
        <v>68</v>
      </c>
      <c r="E12" s="20" t="s">
        <v>69</v>
      </c>
      <c r="F12" s="27" t="s">
        <v>70</v>
      </c>
      <c r="G12" s="21">
        <v>0.5</v>
      </c>
      <c r="H12" s="21" t="s">
        <v>50</v>
      </c>
      <c r="I12" s="21" t="s">
        <v>51</v>
      </c>
      <c r="J12" s="21">
        <v>8</v>
      </c>
      <c r="K12" s="21">
        <v>4</v>
      </c>
      <c r="L12" s="21"/>
      <c r="M12" s="21">
        <v>4</v>
      </c>
      <c r="N12" s="21"/>
      <c r="O12" s="21">
        <v>3</v>
      </c>
      <c r="P12" s="10"/>
    </row>
    <row r="13" spans="1:19" ht="22.65" customHeight="1">
      <c r="A13" s="169"/>
      <c r="B13" s="169"/>
      <c r="C13" s="158"/>
      <c r="D13" s="29" t="s">
        <v>71</v>
      </c>
      <c r="E13" s="20" t="s">
        <v>72</v>
      </c>
      <c r="F13" s="27" t="s">
        <v>73</v>
      </c>
      <c r="G13" s="21">
        <v>0.5</v>
      </c>
      <c r="H13" s="21" t="s">
        <v>50</v>
      </c>
      <c r="I13" s="21" t="s">
        <v>51</v>
      </c>
      <c r="J13" s="21">
        <v>8</v>
      </c>
      <c r="K13" s="21">
        <v>8</v>
      </c>
      <c r="L13" s="21"/>
      <c r="M13" s="21"/>
      <c r="N13" s="21"/>
      <c r="O13" s="21">
        <v>4</v>
      </c>
      <c r="P13" s="10"/>
    </row>
    <row r="14" spans="1:19" ht="22.65" customHeight="1">
      <c r="A14" s="169"/>
      <c r="B14" s="169"/>
      <c r="C14" s="158"/>
      <c r="D14" s="29" t="s">
        <v>74</v>
      </c>
      <c r="E14" s="20" t="s">
        <v>75</v>
      </c>
      <c r="F14" s="27" t="s">
        <v>76</v>
      </c>
      <c r="G14" s="21">
        <v>0.5</v>
      </c>
      <c r="H14" s="21" t="s">
        <v>50</v>
      </c>
      <c r="I14" s="21" t="s">
        <v>51</v>
      </c>
      <c r="J14" s="21">
        <v>8</v>
      </c>
      <c r="K14" s="21">
        <v>8</v>
      </c>
      <c r="L14" s="21"/>
      <c r="M14" s="21"/>
      <c r="N14" s="21"/>
      <c r="O14" s="21">
        <v>5</v>
      </c>
      <c r="P14" s="10"/>
    </row>
    <row r="15" spans="1:19" ht="21" customHeight="1">
      <c r="A15" s="169"/>
      <c r="B15" s="169"/>
      <c r="C15" s="158"/>
      <c r="D15" s="163"/>
      <c r="E15" s="163"/>
      <c r="F15" s="164"/>
      <c r="G15" s="14">
        <f>SUM(G6:G14)</f>
        <v>16</v>
      </c>
      <c r="H15" s="159"/>
      <c r="I15" s="160"/>
      <c r="J15" s="160"/>
      <c r="K15" s="160"/>
      <c r="L15" s="160"/>
      <c r="M15" s="160"/>
      <c r="N15" s="160"/>
      <c r="O15" s="160"/>
      <c r="P15" s="10"/>
    </row>
    <row r="16" spans="1:19" ht="21" customHeight="1">
      <c r="A16" s="169"/>
      <c r="B16" s="169"/>
      <c r="C16" s="158" t="s">
        <v>8</v>
      </c>
      <c r="D16" s="21" t="s">
        <v>77</v>
      </c>
      <c r="E16" s="20" t="s">
        <v>78</v>
      </c>
      <c r="F16" s="27" t="s">
        <v>79</v>
      </c>
      <c r="G16" s="21">
        <v>3</v>
      </c>
      <c r="H16" s="21" t="s">
        <v>50</v>
      </c>
      <c r="I16" s="21" t="s">
        <v>55</v>
      </c>
      <c r="J16" s="21">
        <v>48</v>
      </c>
      <c r="K16" s="21">
        <v>48</v>
      </c>
      <c r="L16" s="21"/>
      <c r="M16" s="21"/>
      <c r="N16" s="21"/>
      <c r="O16" s="21">
        <v>1</v>
      </c>
      <c r="P16" s="10"/>
    </row>
    <row r="17" spans="1:16" ht="21" customHeight="1">
      <c r="A17" s="169"/>
      <c r="B17" s="169"/>
      <c r="C17" s="158"/>
      <c r="D17" s="21" t="s">
        <v>80</v>
      </c>
      <c r="E17" s="20" t="s">
        <v>81</v>
      </c>
      <c r="F17" s="27" t="s">
        <v>82</v>
      </c>
      <c r="G17" s="53">
        <v>3</v>
      </c>
      <c r="H17" s="21" t="s">
        <v>50</v>
      </c>
      <c r="I17" s="21" t="s">
        <v>55</v>
      </c>
      <c r="J17" s="21">
        <v>48</v>
      </c>
      <c r="K17" s="21">
        <v>48</v>
      </c>
      <c r="L17" s="21"/>
      <c r="M17" s="21"/>
      <c r="N17" s="21"/>
      <c r="O17" s="21">
        <v>2</v>
      </c>
      <c r="P17" s="10"/>
    </row>
    <row r="18" spans="1:16" ht="24.75" customHeight="1">
      <c r="A18" s="169"/>
      <c r="B18" s="169"/>
      <c r="C18" s="158"/>
      <c r="D18" s="21" t="s">
        <v>83</v>
      </c>
      <c r="E18" s="20" t="s">
        <v>84</v>
      </c>
      <c r="F18" s="20" t="s">
        <v>85</v>
      </c>
      <c r="G18" s="53">
        <v>2</v>
      </c>
      <c r="H18" s="21" t="s">
        <v>50</v>
      </c>
      <c r="I18" s="21" t="s">
        <v>55</v>
      </c>
      <c r="J18" s="21">
        <v>32</v>
      </c>
      <c r="K18" s="21">
        <v>32</v>
      </c>
      <c r="L18" s="21"/>
      <c r="M18" s="21"/>
      <c r="N18" s="21"/>
      <c r="O18" s="21">
        <v>3</v>
      </c>
      <c r="P18" s="10"/>
    </row>
    <row r="19" spans="1:16" ht="27.75" customHeight="1">
      <c r="A19" s="169"/>
      <c r="B19" s="169"/>
      <c r="C19" s="158"/>
      <c r="D19" s="21" t="s">
        <v>86</v>
      </c>
      <c r="E19" s="31" t="s">
        <v>87</v>
      </c>
      <c r="F19" s="20" t="s">
        <v>88</v>
      </c>
      <c r="G19" s="21">
        <v>2</v>
      </c>
      <c r="H19" s="21" t="s">
        <v>50</v>
      </c>
      <c r="I19" s="21" t="s">
        <v>55</v>
      </c>
      <c r="J19" s="21">
        <v>32</v>
      </c>
      <c r="K19" s="21">
        <v>32</v>
      </c>
      <c r="L19" s="21"/>
      <c r="M19" s="21"/>
      <c r="N19" s="21"/>
      <c r="O19" s="21">
        <v>4</v>
      </c>
      <c r="P19" s="10"/>
    </row>
    <row r="20" spans="1:16" ht="21" customHeight="1">
      <c r="A20" s="169"/>
      <c r="B20" s="169"/>
      <c r="C20" s="158"/>
      <c r="D20" s="163"/>
      <c r="E20" s="163"/>
      <c r="F20" s="164"/>
      <c r="G20" s="14">
        <f>SUM(G16:G19)</f>
        <v>10</v>
      </c>
      <c r="H20" s="159"/>
      <c r="I20" s="160"/>
      <c r="J20" s="160"/>
      <c r="K20" s="160"/>
      <c r="L20" s="160"/>
      <c r="M20" s="160"/>
      <c r="N20" s="160"/>
      <c r="O20" s="160"/>
      <c r="P20" s="10"/>
    </row>
    <row r="21" spans="1:16" ht="21" customHeight="1">
      <c r="A21" s="169"/>
      <c r="B21" s="169"/>
      <c r="C21" s="158" t="s">
        <v>9</v>
      </c>
      <c r="D21" s="21" t="s">
        <v>89</v>
      </c>
      <c r="E21" s="20" t="s">
        <v>90</v>
      </c>
      <c r="F21" s="20" t="s">
        <v>91</v>
      </c>
      <c r="G21" s="21">
        <v>1</v>
      </c>
      <c r="H21" s="21" t="s">
        <v>50</v>
      </c>
      <c r="I21" s="21" t="s">
        <v>51</v>
      </c>
      <c r="J21" s="21" t="s">
        <v>92</v>
      </c>
      <c r="K21" s="21">
        <v>16</v>
      </c>
      <c r="L21" s="21"/>
      <c r="M21" s="21" t="s">
        <v>92</v>
      </c>
      <c r="N21" s="21"/>
      <c r="O21" s="21">
        <v>1</v>
      </c>
      <c r="P21" s="10"/>
    </row>
    <row r="22" spans="1:16" ht="21" customHeight="1">
      <c r="A22" s="169"/>
      <c r="B22" s="169"/>
      <c r="C22" s="158"/>
      <c r="D22" s="21" t="s">
        <v>93</v>
      </c>
      <c r="E22" s="20" t="s">
        <v>94</v>
      </c>
      <c r="F22" s="20" t="s">
        <v>95</v>
      </c>
      <c r="G22" s="21">
        <v>1</v>
      </c>
      <c r="H22" s="21" t="s">
        <v>50</v>
      </c>
      <c r="I22" s="21" t="s">
        <v>51</v>
      </c>
      <c r="J22" s="21">
        <v>16</v>
      </c>
      <c r="K22" s="21">
        <v>16</v>
      </c>
      <c r="L22" s="21"/>
      <c r="M22" s="21"/>
      <c r="N22" s="21"/>
      <c r="O22" s="21">
        <v>1</v>
      </c>
      <c r="P22" s="10"/>
    </row>
    <row r="23" spans="1:16" ht="21" customHeight="1">
      <c r="A23" s="169"/>
      <c r="B23" s="169"/>
      <c r="C23" s="158"/>
      <c r="D23" s="21" t="s">
        <v>96</v>
      </c>
      <c r="E23" s="32" t="s">
        <v>97</v>
      </c>
      <c r="F23" s="20" t="s">
        <v>98</v>
      </c>
      <c r="G23" s="22">
        <v>1</v>
      </c>
      <c r="H23" s="21" t="s">
        <v>50</v>
      </c>
      <c r="I23" s="21" t="s">
        <v>55</v>
      </c>
      <c r="J23" s="21">
        <v>24</v>
      </c>
      <c r="K23" s="21"/>
      <c r="L23" s="21"/>
      <c r="M23" s="21"/>
      <c r="N23" s="21"/>
      <c r="O23" s="21">
        <v>1</v>
      </c>
      <c r="P23" s="10"/>
    </row>
    <row r="24" spans="1:16" ht="21" customHeight="1">
      <c r="A24" s="169"/>
      <c r="B24" s="169"/>
      <c r="C24" s="158"/>
      <c r="D24" s="21" t="s">
        <v>99</v>
      </c>
      <c r="E24" s="20" t="s">
        <v>100</v>
      </c>
      <c r="F24" s="20" t="s">
        <v>101</v>
      </c>
      <c r="G24" s="22">
        <v>1</v>
      </c>
      <c r="H24" s="21" t="s">
        <v>50</v>
      </c>
      <c r="I24" s="21" t="s">
        <v>55</v>
      </c>
      <c r="J24" s="21">
        <v>24</v>
      </c>
      <c r="K24" s="21"/>
      <c r="L24" s="21"/>
      <c r="M24" s="21"/>
      <c r="N24" s="21"/>
      <c r="O24" s="21">
        <v>2</v>
      </c>
      <c r="P24" s="10"/>
    </row>
    <row r="25" spans="1:16" ht="21" customHeight="1">
      <c r="A25" s="169"/>
      <c r="B25" s="169"/>
      <c r="C25" s="158"/>
      <c r="D25" s="21" t="s">
        <v>102</v>
      </c>
      <c r="E25" s="20" t="s">
        <v>103</v>
      </c>
      <c r="F25" s="20" t="s">
        <v>104</v>
      </c>
      <c r="G25" s="22">
        <v>1</v>
      </c>
      <c r="H25" s="21" t="s">
        <v>50</v>
      </c>
      <c r="I25" s="21" t="s">
        <v>55</v>
      </c>
      <c r="J25" s="21">
        <v>24</v>
      </c>
      <c r="K25" s="21"/>
      <c r="L25" s="21"/>
      <c r="M25" s="21"/>
      <c r="N25" s="21"/>
      <c r="O25" s="21">
        <v>3</v>
      </c>
      <c r="P25" s="10"/>
    </row>
    <row r="26" spans="1:16" ht="21" customHeight="1">
      <c r="A26" s="169"/>
      <c r="B26" s="169"/>
      <c r="C26" s="158"/>
      <c r="D26" s="21" t="s">
        <v>105</v>
      </c>
      <c r="E26" s="20" t="s">
        <v>106</v>
      </c>
      <c r="F26" s="20" t="s">
        <v>107</v>
      </c>
      <c r="G26" s="22">
        <v>1</v>
      </c>
      <c r="H26" s="21" t="s">
        <v>50</v>
      </c>
      <c r="I26" s="21" t="s">
        <v>55</v>
      </c>
      <c r="J26" s="21">
        <v>24</v>
      </c>
      <c r="K26" s="21"/>
      <c r="L26" s="21"/>
      <c r="M26" s="21"/>
      <c r="N26" s="21"/>
      <c r="O26" s="21">
        <v>4</v>
      </c>
      <c r="P26" s="10"/>
    </row>
    <row r="27" spans="1:16" ht="21" customHeight="1">
      <c r="A27" s="169"/>
      <c r="B27" s="169"/>
      <c r="C27" s="158"/>
      <c r="D27" s="21" t="s">
        <v>108</v>
      </c>
      <c r="E27" s="20" t="s">
        <v>109</v>
      </c>
      <c r="F27" s="20" t="s">
        <v>110</v>
      </c>
      <c r="G27" s="22">
        <v>0.5</v>
      </c>
      <c r="H27" s="21" t="s">
        <v>50</v>
      </c>
      <c r="I27" s="146" t="s">
        <v>111</v>
      </c>
      <c r="J27" s="21">
        <v>24</v>
      </c>
      <c r="K27" s="21"/>
      <c r="L27" s="21"/>
      <c r="M27" s="21"/>
      <c r="N27" s="21"/>
      <c r="O27" s="21">
        <v>5</v>
      </c>
      <c r="P27" s="10"/>
    </row>
    <row r="28" spans="1:16" ht="21" customHeight="1">
      <c r="A28" s="169"/>
      <c r="B28" s="169"/>
      <c r="C28" s="158"/>
      <c r="D28" s="21" t="s">
        <v>112</v>
      </c>
      <c r="E28" s="20" t="s">
        <v>113</v>
      </c>
      <c r="F28" s="20" t="s">
        <v>114</v>
      </c>
      <c r="G28" s="22">
        <v>0.5</v>
      </c>
      <c r="H28" s="21" t="s">
        <v>50</v>
      </c>
      <c r="I28" s="146"/>
      <c r="J28" s="21">
        <v>24</v>
      </c>
      <c r="K28" s="21"/>
      <c r="L28" s="21"/>
      <c r="M28" s="21"/>
      <c r="N28" s="21"/>
      <c r="O28" s="21">
        <v>6</v>
      </c>
      <c r="P28" s="10"/>
    </row>
    <row r="29" spans="1:16" ht="21" customHeight="1">
      <c r="A29" s="169"/>
      <c r="B29" s="169"/>
      <c r="C29" s="158"/>
      <c r="D29" s="15"/>
      <c r="E29" s="16" t="s">
        <v>39</v>
      </c>
      <c r="F29" s="17"/>
      <c r="G29" s="14">
        <f>SUM(G21:G28)</f>
        <v>7</v>
      </c>
      <c r="H29" s="159"/>
      <c r="I29" s="160"/>
      <c r="J29" s="160"/>
      <c r="K29" s="161"/>
      <c r="L29" s="161"/>
      <c r="M29" s="161"/>
      <c r="N29" s="161"/>
      <c r="O29" s="161"/>
      <c r="P29" s="10"/>
    </row>
    <row r="30" spans="1:16" ht="21" customHeight="1">
      <c r="A30" s="169"/>
      <c r="B30" s="169"/>
      <c r="C30" s="177" t="s">
        <v>10</v>
      </c>
      <c r="D30" s="21" t="s">
        <v>115</v>
      </c>
      <c r="E30" s="20" t="s">
        <v>116</v>
      </c>
      <c r="F30" s="27" t="s">
        <v>117</v>
      </c>
      <c r="G30" s="21">
        <v>2.5</v>
      </c>
      <c r="H30" s="33" t="s">
        <v>6</v>
      </c>
      <c r="I30" s="33" t="s">
        <v>118</v>
      </c>
      <c r="J30" s="21">
        <v>40</v>
      </c>
      <c r="K30" s="21">
        <v>40</v>
      </c>
      <c r="L30" s="21"/>
      <c r="M30" s="21"/>
      <c r="N30" s="21"/>
      <c r="O30" s="21">
        <v>3</v>
      </c>
      <c r="P30" s="10"/>
    </row>
    <row r="31" spans="1:16" ht="21" customHeight="1">
      <c r="A31" s="169"/>
      <c r="B31" s="169"/>
      <c r="C31" s="169"/>
      <c r="D31" s="21" t="s">
        <v>119</v>
      </c>
      <c r="E31" s="20" t="s">
        <v>120</v>
      </c>
      <c r="F31" s="20" t="s">
        <v>121</v>
      </c>
      <c r="G31" s="21">
        <v>4.5</v>
      </c>
      <c r="H31" s="33" t="s">
        <v>6</v>
      </c>
      <c r="I31" s="33" t="s">
        <v>118</v>
      </c>
      <c r="J31" s="21">
        <v>72</v>
      </c>
      <c r="K31" s="21">
        <v>72</v>
      </c>
      <c r="L31" s="21"/>
      <c r="M31" s="21"/>
      <c r="N31" s="21"/>
      <c r="O31" s="21">
        <v>1</v>
      </c>
      <c r="P31" s="10"/>
    </row>
    <row r="32" spans="1:16" ht="21" customHeight="1">
      <c r="A32" s="169"/>
      <c r="B32" s="169"/>
      <c r="C32" s="169"/>
      <c r="D32" s="21" t="s">
        <v>122</v>
      </c>
      <c r="E32" s="20" t="s">
        <v>123</v>
      </c>
      <c r="F32" s="20" t="s">
        <v>124</v>
      </c>
      <c r="G32" s="21">
        <v>5</v>
      </c>
      <c r="H32" s="33" t="s">
        <v>6</v>
      </c>
      <c r="I32" s="33" t="s">
        <v>118</v>
      </c>
      <c r="J32" s="21">
        <v>80</v>
      </c>
      <c r="K32" s="21">
        <v>80</v>
      </c>
      <c r="L32" s="21"/>
      <c r="M32" s="21"/>
      <c r="N32" s="21"/>
      <c r="O32" s="21">
        <v>2</v>
      </c>
      <c r="P32" s="10"/>
    </row>
    <row r="33" spans="1:19" ht="24" customHeight="1">
      <c r="A33" s="169"/>
      <c r="B33" s="169"/>
      <c r="C33" s="169"/>
      <c r="D33" s="21" t="s">
        <v>125</v>
      </c>
      <c r="E33" s="20" t="s">
        <v>126</v>
      </c>
      <c r="F33" s="20" t="s">
        <v>127</v>
      </c>
      <c r="G33" s="21">
        <v>3</v>
      </c>
      <c r="H33" s="33" t="s">
        <v>6</v>
      </c>
      <c r="I33" s="33" t="s">
        <v>45</v>
      </c>
      <c r="J33" s="21">
        <v>48</v>
      </c>
      <c r="K33" s="21">
        <v>48</v>
      </c>
      <c r="L33" s="21"/>
      <c r="M33" s="21"/>
      <c r="N33" s="21"/>
      <c r="O33" s="21">
        <v>1</v>
      </c>
      <c r="P33" s="10"/>
    </row>
    <row r="34" spans="1:19" ht="30" customHeight="1">
      <c r="A34" s="169"/>
      <c r="B34" s="169"/>
      <c r="C34" s="169"/>
      <c r="D34" s="21" t="s">
        <v>128</v>
      </c>
      <c r="E34" s="20" t="s">
        <v>129</v>
      </c>
      <c r="F34" s="20" t="s">
        <v>130</v>
      </c>
      <c r="G34" s="21">
        <v>3</v>
      </c>
      <c r="H34" s="33" t="s">
        <v>6</v>
      </c>
      <c r="I34" s="33" t="s">
        <v>45</v>
      </c>
      <c r="J34" s="21">
        <v>48</v>
      </c>
      <c r="K34" s="21">
        <v>48</v>
      </c>
      <c r="L34" s="21"/>
      <c r="M34" s="21"/>
      <c r="N34" s="21"/>
      <c r="O34" s="21">
        <v>4</v>
      </c>
      <c r="P34" s="10"/>
    </row>
    <row r="35" spans="1:19" ht="21" customHeight="1">
      <c r="A35" s="169"/>
      <c r="B35" s="169"/>
      <c r="C35" s="169"/>
      <c r="D35" s="21" t="s">
        <v>131</v>
      </c>
      <c r="E35" s="20" t="s">
        <v>132</v>
      </c>
      <c r="F35" s="34" t="s">
        <v>133</v>
      </c>
      <c r="G35" s="21">
        <v>3</v>
      </c>
      <c r="H35" s="21" t="s">
        <v>50</v>
      </c>
      <c r="I35" s="21" t="s">
        <v>55</v>
      </c>
      <c r="J35" s="21">
        <v>48</v>
      </c>
      <c r="K35" s="21">
        <v>48</v>
      </c>
      <c r="L35" s="21"/>
      <c r="M35" s="21"/>
      <c r="N35" s="21"/>
      <c r="O35" s="21">
        <v>2</v>
      </c>
      <c r="P35" s="10"/>
    </row>
    <row r="36" spans="1:19" ht="21" customHeight="1">
      <c r="A36" s="169"/>
      <c r="B36" s="169"/>
      <c r="C36" s="169"/>
      <c r="D36" s="21" t="s">
        <v>134</v>
      </c>
      <c r="E36" s="20" t="s">
        <v>135</v>
      </c>
      <c r="F36" s="34" t="s">
        <v>136</v>
      </c>
      <c r="G36" s="21">
        <v>3</v>
      </c>
      <c r="H36" s="21" t="s">
        <v>50</v>
      </c>
      <c r="I36" s="21" t="s">
        <v>55</v>
      </c>
      <c r="J36" s="21">
        <v>48</v>
      </c>
      <c r="K36" s="21">
        <v>48</v>
      </c>
      <c r="L36" s="21"/>
      <c r="M36" s="21"/>
      <c r="N36" s="21"/>
      <c r="O36" s="21">
        <v>3</v>
      </c>
      <c r="P36" s="10"/>
    </row>
    <row r="37" spans="1:19" ht="21" customHeight="1">
      <c r="A37" s="169"/>
      <c r="B37" s="169"/>
      <c r="C37" s="169"/>
      <c r="D37" s="21" t="s">
        <v>137</v>
      </c>
      <c r="E37" s="20" t="s">
        <v>138</v>
      </c>
      <c r="F37" s="20" t="s">
        <v>139</v>
      </c>
      <c r="G37" s="21">
        <v>1.5</v>
      </c>
      <c r="H37" s="21" t="s">
        <v>50</v>
      </c>
      <c r="I37" s="21" t="s">
        <v>51</v>
      </c>
      <c r="J37" s="21">
        <v>24</v>
      </c>
      <c r="K37" s="21"/>
      <c r="L37" s="21">
        <v>24</v>
      </c>
      <c r="M37" s="21"/>
      <c r="N37" s="21"/>
      <c r="O37" s="21">
        <v>2</v>
      </c>
      <c r="P37" s="10"/>
    </row>
    <row r="38" spans="1:19" ht="21" customHeight="1">
      <c r="A38" s="169"/>
      <c r="B38" s="169"/>
      <c r="C38" s="169"/>
      <c r="D38" s="21" t="s">
        <v>140</v>
      </c>
      <c r="E38" s="20" t="s">
        <v>141</v>
      </c>
      <c r="F38" s="27" t="s">
        <v>142</v>
      </c>
      <c r="G38" s="21">
        <v>1.5</v>
      </c>
      <c r="H38" s="21" t="s">
        <v>50</v>
      </c>
      <c r="I38" s="21" t="s">
        <v>51</v>
      </c>
      <c r="J38" s="21">
        <v>24</v>
      </c>
      <c r="K38" s="21"/>
      <c r="L38" s="21">
        <v>24</v>
      </c>
      <c r="M38" s="21"/>
      <c r="N38" s="21"/>
      <c r="O38" s="21">
        <v>3</v>
      </c>
      <c r="P38" s="10"/>
    </row>
    <row r="39" spans="1:19" ht="21" customHeight="1">
      <c r="A39" s="169"/>
      <c r="B39" s="169"/>
      <c r="C39" s="170"/>
      <c r="D39" s="162" t="s">
        <v>11</v>
      </c>
      <c r="E39" s="163"/>
      <c r="F39" s="164"/>
      <c r="G39" s="14">
        <f>SUM(G30:G38)</f>
        <v>27</v>
      </c>
      <c r="H39" s="159"/>
      <c r="I39" s="160"/>
      <c r="J39" s="160"/>
      <c r="K39" s="160"/>
      <c r="L39" s="160"/>
      <c r="M39" s="160"/>
      <c r="N39" s="160"/>
      <c r="O39" s="160"/>
      <c r="P39" s="10"/>
    </row>
    <row r="40" spans="1:19" ht="24" customHeight="1">
      <c r="A40" s="169"/>
      <c r="B40" s="169"/>
      <c r="C40" s="177" t="s">
        <v>41</v>
      </c>
      <c r="D40" s="53" t="s">
        <v>201</v>
      </c>
      <c r="E40" s="98" t="s">
        <v>308</v>
      </c>
      <c r="F40" s="99" t="s">
        <v>202</v>
      </c>
      <c r="G40" s="53">
        <v>1</v>
      </c>
      <c r="H40" s="100" t="s">
        <v>6</v>
      </c>
      <c r="I40" s="101" t="s">
        <v>45</v>
      </c>
      <c r="J40" s="102">
        <v>16</v>
      </c>
      <c r="K40" s="102">
        <v>12</v>
      </c>
      <c r="L40" s="102">
        <v>4</v>
      </c>
      <c r="M40" s="53"/>
      <c r="N40" s="53"/>
      <c r="O40" s="103" t="s">
        <v>309</v>
      </c>
      <c r="P40" s="104" t="s">
        <v>144</v>
      </c>
      <c r="R40" s="85"/>
      <c r="S40" s="85"/>
    </row>
    <row r="41" spans="1:19" s="44" customFormat="1" ht="27" customHeight="1">
      <c r="A41" s="169"/>
      <c r="B41" s="169"/>
      <c r="C41" s="177"/>
      <c r="D41" s="53" t="s">
        <v>305</v>
      </c>
      <c r="E41" s="105" t="s">
        <v>306</v>
      </c>
      <c r="F41" s="99" t="s">
        <v>307</v>
      </c>
      <c r="G41" s="53">
        <v>1</v>
      </c>
      <c r="H41" s="100" t="s">
        <v>6</v>
      </c>
      <c r="I41" s="101" t="s">
        <v>45</v>
      </c>
      <c r="J41" s="102">
        <v>16</v>
      </c>
      <c r="K41" s="102">
        <v>8</v>
      </c>
      <c r="L41" s="102">
        <v>8</v>
      </c>
      <c r="M41" s="53">
        <v>0</v>
      </c>
      <c r="N41" s="53">
        <v>0</v>
      </c>
      <c r="O41" s="103">
        <v>5</v>
      </c>
      <c r="P41" s="104" t="s">
        <v>143</v>
      </c>
      <c r="Q41" s="85"/>
      <c r="R41" s="85"/>
      <c r="S41" s="85"/>
    </row>
    <row r="42" spans="1:19" ht="21" customHeight="1">
      <c r="A42" s="169"/>
      <c r="B42" s="169"/>
      <c r="C42" s="177"/>
      <c r="D42" s="130" t="s">
        <v>25</v>
      </c>
      <c r="E42" s="131"/>
      <c r="F42" s="132"/>
      <c r="G42" s="106">
        <v>2</v>
      </c>
      <c r="H42" s="193"/>
      <c r="I42" s="131"/>
      <c r="J42" s="131"/>
      <c r="K42" s="131"/>
      <c r="L42" s="131"/>
      <c r="M42" s="131"/>
      <c r="N42" s="131"/>
      <c r="O42" s="132"/>
      <c r="P42" s="107"/>
    </row>
    <row r="43" spans="1:19" ht="27" customHeight="1">
      <c r="A43" s="169"/>
      <c r="B43" s="169"/>
      <c r="C43" s="177"/>
      <c r="D43" s="126" t="s">
        <v>12</v>
      </c>
      <c r="E43" s="127"/>
      <c r="F43" s="128"/>
      <c r="G43" s="35">
        <v>4</v>
      </c>
      <c r="H43" s="126" t="s">
        <v>333</v>
      </c>
      <c r="I43" s="127"/>
      <c r="J43" s="127"/>
      <c r="K43" s="127"/>
      <c r="L43" s="127"/>
      <c r="M43" s="127"/>
      <c r="N43" s="127"/>
      <c r="O43" s="128"/>
      <c r="P43" s="107"/>
      <c r="Q43" s="83"/>
    </row>
    <row r="44" spans="1:19" ht="21" customHeight="1">
      <c r="A44" s="169"/>
      <c r="B44" s="169"/>
      <c r="C44" s="177"/>
      <c r="D44" s="153" t="s">
        <v>11</v>
      </c>
      <c r="E44" s="154"/>
      <c r="F44" s="154"/>
      <c r="G44" s="108">
        <v>6</v>
      </c>
      <c r="H44" s="133"/>
      <c r="I44" s="131"/>
      <c r="J44" s="131"/>
      <c r="K44" s="131"/>
      <c r="L44" s="131"/>
      <c r="M44" s="131"/>
      <c r="N44" s="131"/>
      <c r="O44" s="132"/>
      <c r="P44" s="107"/>
    </row>
    <row r="45" spans="1:19" ht="21" customHeight="1">
      <c r="A45" s="169"/>
      <c r="B45" s="169"/>
      <c r="C45" s="177" t="s">
        <v>40</v>
      </c>
      <c r="D45" s="92" t="s">
        <v>42</v>
      </c>
      <c r="E45" s="20" t="s">
        <v>43</v>
      </c>
      <c r="F45" s="23" t="s">
        <v>44</v>
      </c>
      <c r="G45" s="92">
        <v>1</v>
      </c>
      <c r="H45" s="109" t="s">
        <v>6</v>
      </c>
      <c r="I45" s="110" t="s">
        <v>45</v>
      </c>
      <c r="J45" s="111">
        <v>32</v>
      </c>
      <c r="K45" s="35"/>
      <c r="L45" s="35"/>
      <c r="M45" s="35"/>
      <c r="N45" s="35"/>
      <c r="O45" s="35"/>
      <c r="P45" s="107"/>
    </row>
    <row r="46" spans="1:19" ht="17.399999999999999" customHeight="1">
      <c r="A46" s="169"/>
      <c r="B46" s="170"/>
      <c r="C46" s="170"/>
      <c r="D46" s="134" t="s">
        <v>11</v>
      </c>
      <c r="E46" s="135"/>
      <c r="F46" s="136"/>
      <c r="G46" s="108">
        <v>1</v>
      </c>
      <c r="H46" s="133"/>
      <c r="I46" s="131"/>
      <c r="J46" s="131"/>
      <c r="K46" s="131"/>
      <c r="L46" s="131"/>
      <c r="M46" s="131"/>
      <c r="N46" s="131"/>
      <c r="O46" s="132"/>
      <c r="P46" s="107"/>
    </row>
    <row r="47" spans="1:19" ht="21" customHeight="1">
      <c r="A47" s="169"/>
      <c r="B47" s="158" t="s">
        <v>304</v>
      </c>
      <c r="C47" s="125" t="s">
        <v>303</v>
      </c>
      <c r="D47" s="35" t="s">
        <v>299</v>
      </c>
      <c r="E47" s="93" t="s">
        <v>300</v>
      </c>
      <c r="F47" s="94" t="s">
        <v>302</v>
      </c>
      <c r="G47" s="35">
        <v>0.5</v>
      </c>
      <c r="H47" s="112" t="s">
        <v>6</v>
      </c>
      <c r="I47" s="112" t="s">
        <v>45</v>
      </c>
      <c r="J47" s="97">
        <v>12</v>
      </c>
      <c r="K47" s="97">
        <v>12</v>
      </c>
      <c r="L47" s="97">
        <v>0</v>
      </c>
      <c r="M47" s="35">
        <v>0</v>
      </c>
      <c r="N47" s="35">
        <v>0</v>
      </c>
      <c r="O47" s="97">
        <v>6</v>
      </c>
      <c r="P47" s="107" t="s">
        <v>143</v>
      </c>
    </row>
    <row r="48" spans="1:19" ht="27" customHeight="1">
      <c r="A48" s="169"/>
      <c r="B48" s="158"/>
      <c r="C48" s="125" t="s">
        <v>303</v>
      </c>
      <c r="D48" s="35" t="s">
        <v>297</v>
      </c>
      <c r="E48" s="93" t="s">
        <v>298</v>
      </c>
      <c r="F48" s="94" t="s">
        <v>301</v>
      </c>
      <c r="G48" s="35">
        <v>0.5</v>
      </c>
      <c r="H48" s="95" t="s">
        <v>6</v>
      </c>
      <c r="I48" s="96" t="s">
        <v>45</v>
      </c>
      <c r="J48" s="97">
        <v>12</v>
      </c>
      <c r="K48" s="97">
        <v>12</v>
      </c>
      <c r="L48" s="97">
        <v>0</v>
      </c>
      <c r="M48" s="35">
        <v>0</v>
      </c>
      <c r="N48" s="35">
        <v>0</v>
      </c>
      <c r="O48" s="97">
        <v>1</v>
      </c>
      <c r="P48" s="107" t="s">
        <v>143</v>
      </c>
    </row>
    <row r="49" spans="1:19" ht="24.75" customHeight="1">
      <c r="A49" s="169"/>
      <c r="B49" s="158"/>
      <c r="C49" s="62"/>
      <c r="D49" s="155" t="s">
        <v>296</v>
      </c>
      <c r="E49" s="156"/>
      <c r="F49" s="157"/>
      <c r="G49" s="24"/>
      <c r="H49" s="129" t="s">
        <v>332</v>
      </c>
      <c r="I49" s="129"/>
      <c r="J49" s="129"/>
      <c r="K49" s="129"/>
      <c r="L49" s="129"/>
      <c r="M49" s="129"/>
      <c r="N49" s="129"/>
      <c r="O49" s="129"/>
      <c r="P49" s="10"/>
      <c r="Q49" s="83"/>
    </row>
    <row r="50" spans="1:19" ht="21" customHeight="1">
      <c r="A50" s="169"/>
      <c r="B50" s="158"/>
      <c r="C50" s="62"/>
      <c r="D50" s="158" t="s">
        <v>11</v>
      </c>
      <c r="E50" s="168"/>
      <c r="F50" s="168"/>
      <c r="G50" s="14">
        <v>7</v>
      </c>
      <c r="H50" s="61"/>
      <c r="I50" s="61"/>
      <c r="J50" s="61"/>
      <c r="K50" s="61"/>
      <c r="L50" s="61"/>
      <c r="M50" s="61"/>
      <c r="N50" s="61"/>
      <c r="O50" s="61"/>
      <c r="P50" s="10"/>
      <c r="R50" s="85"/>
      <c r="S50" s="85"/>
    </row>
    <row r="51" spans="1:19" ht="21" customHeight="1">
      <c r="A51" s="170"/>
      <c r="B51" s="158" t="s">
        <v>14</v>
      </c>
      <c r="C51" s="158"/>
      <c r="D51" s="158"/>
      <c r="E51" s="158"/>
      <c r="F51" s="158"/>
      <c r="G51" s="14">
        <f>SUM(G15+G20+G29+G39+G44+G46+G50)</f>
        <v>74</v>
      </c>
      <c r="H51" s="3"/>
      <c r="I51" s="3"/>
      <c r="J51" s="3"/>
      <c r="K51" s="3"/>
      <c r="L51" s="3"/>
      <c r="M51" s="3"/>
      <c r="N51" s="3"/>
      <c r="O51" s="18"/>
      <c r="P51" s="10"/>
      <c r="R51" s="85"/>
      <c r="S51" s="85"/>
    </row>
    <row r="52" spans="1:19" ht="21" customHeight="1">
      <c r="A52" s="50"/>
      <c r="B52" s="51"/>
      <c r="C52" s="52"/>
      <c r="D52" s="42" t="s">
        <v>256</v>
      </c>
      <c r="E52" s="6" t="s">
        <v>257</v>
      </c>
      <c r="F52" s="43" t="s">
        <v>258</v>
      </c>
      <c r="G52" s="42">
        <v>0.5</v>
      </c>
      <c r="H52" s="42" t="s">
        <v>6</v>
      </c>
      <c r="I52" s="42" t="s">
        <v>45</v>
      </c>
      <c r="J52" s="42">
        <v>8</v>
      </c>
      <c r="K52" s="42">
        <v>8</v>
      </c>
      <c r="L52" s="42"/>
      <c r="M52" s="42"/>
      <c r="N52" s="42"/>
      <c r="O52" s="54" t="s">
        <v>255</v>
      </c>
      <c r="P52" s="43" t="s">
        <v>144</v>
      </c>
      <c r="R52" s="85"/>
      <c r="S52" s="85"/>
    </row>
    <row r="53" spans="1:19" ht="22.5" customHeight="1">
      <c r="A53" s="147" t="s">
        <v>15</v>
      </c>
      <c r="B53" s="158" t="s">
        <v>16</v>
      </c>
      <c r="C53" s="40"/>
      <c r="D53" s="11" t="s">
        <v>145</v>
      </c>
      <c r="E53" s="13" t="s">
        <v>146</v>
      </c>
      <c r="F53" s="13" t="s">
        <v>147</v>
      </c>
      <c r="G53" s="24">
        <v>1</v>
      </c>
      <c r="H53" s="35" t="s">
        <v>6</v>
      </c>
      <c r="I53" s="24" t="s">
        <v>148</v>
      </c>
      <c r="J53" s="24">
        <v>16</v>
      </c>
      <c r="K53" s="24">
        <v>16</v>
      </c>
      <c r="L53" s="24"/>
      <c r="M53" s="24"/>
      <c r="N53" s="24"/>
      <c r="O53" s="24">
        <v>1</v>
      </c>
      <c r="P53" s="36" t="s">
        <v>149</v>
      </c>
      <c r="R53" s="85"/>
      <c r="S53" s="85"/>
    </row>
    <row r="54" spans="1:19" ht="22.5" customHeight="1">
      <c r="A54" s="148"/>
      <c r="B54" s="158"/>
      <c r="C54" s="41"/>
      <c r="D54" s="11" t="s">
        <v>150</v>
      </c>
      <c r="E54" s="13" t="s">
        <v>151</v>
      </c>
      <c r="F54" s="13" t="s">
        <v>152</v>
      </c>
      <c r="G54" s="24">
        <v>1</v>
      </c>
      <c r="H54" s="35" t="s">
        <v>6</v>
      </c>
      <c r="I54" s="24" t="s">
        <v>148</v>
      </c>
      <c r="J54" s="24">
        <v>16</v>
      </c>
      <c r="K54" s="24"/>
      <c r="L54" s="24">
        <v>16</v>
      </c>
      <c r="M54" s="24"/>
      <c r="N54" s="24"/>
      <c r="O54" s="24">
        <v>1</v>
      </c>
      <c r="P54" s="36" t="s">
        <v>153</v>
      </c>
      <c r="R54" s="85"/>
      <c r="S54" s="85"/>
    </row>
    <row r="55" spans="1:19" ht="22.5" customHeight="1">
      <c r="A55" s="148"/>
      <c r="B55" s="158"/>
      <c r="C55" s="41"/>
      <c r="D55" s="11" t="s">
        <v>154</v>
      </c>
      <c r="E55" s="194" t="s">
        <v>155</v>
      </c>
      <c r="F55" s="13" t="s">
        <v>156</v>
      </c>
      <c r="G55" s="24">
        <v>2</v>
      </c>
      <c r="H55" s="35" t="s">
        <v>6</v>
      </c>
      <c r="I55" s="24" t="s">
        <v>157</v>
      </c>
      <c r="J55" s="24">
        <v>32</v>
      </c>
      <c r="K55" s="24">
        <v>24</v>
      </c>
      <c r="L55" s="24"/>
      <c r="M55" s="24"/>
      <c r="N55" s="24">
        <v>8</v>
      </c>
      <c r="O55" s="24">
        <v>1</v>
      </c>
      <c r="P55" s="36" t="s">
        <v>153</v>
      </c>
      <c r="R55" s="85"/>
      <c r="S55" s="85"/>
    </row>
    <row r="56" spans="1:19" ht="22.5" customHeight="1">
      <c r="A56" s="148"/>
      <c r="B56" s="158"/>
      <c r="C56" s="41"/>
      <c r="D56" s="11" t="s">
        <v>158</v>
      </c>
      <c r="E56" s="13" t="s">
        <v>159</v>
      </c>
      <c r="F56" s="37" t="s">
        <v>160</v>
      </c>
      <c r="G56" s="24">
        <v>4</v>
      </c>
      <c r="H56" s="35" t="s">
        <v>6</v>
      </c>
      <c r="I56" s="24" t="s">
        <v>157</v>
      </c>
      <c r="J56" s="24">
        <v>64</v>
      </c>
      <c r="K56" s="24">
        <v>24</v>
      </c>
      <c r="L56" s="24"/>
      <c r="M56" s="24"/>
      <c r="N56" s="24">
        <v>40</v>
      </c>
      <c r="O56" s="24">
        <v>1</v>
      </c>
      <c r="P56" s="36" t="s">
        <v>149</v>
      </c>
      <c r="R56" s="85"/>
      <c r="S56" s="85"/>
    </row>
    <row r="57" spans="1:19" ht="22.5" customHeight="1">
      <c r="A57" s="148"/>
      <c r="B57" s="158"/>
      <c r="C57" s="41"/>
      <c r="D57" s="11" t="s">
        <v>161</v>
      </c>
      <c r="E57" s="13" t="s">
        <v>162</v>
      </c>
      <c r="F57" s="13" t="s">
        <v>163</v>
      </c>
      <c r="G57" s="24">
        <v>3.5</v>
      </c>
      <c r="H57" s="35" t="s">
        <v>164</v>
      </c>
      <c r="I57" s="24" t="s">
        <v>157</v>
      </c>
      <c r="J57" s="24">
        <v>56</v>
      </c>
      <c r="K57" s="24">
        <v>40</v>
      </c>
      <c r="L57" s="24"/>
      <c r="M57" s="24"/>
      <c r="N57" s="24">
        <v>16</v>
      </c>
      <c r="O57" s="24">
        <v>2</v>
      </c>
      <c r="P57" s="36" t="s">
        <v>149</v>
      </c>
      <c r="R57" s="85"/>
      <c r="S57" s="85"/>
    </row>
    <row r="58" spans="1:19" ht="22.5" customHeight="1">
      <c r="A58" s="148"/>
      <c r="B58" s="158"/>
      <c r="C58" s="41"/>
      <c r="D58" s="24" t="s">
        <v>183</v>
      </c>
      <c r="E58" s="12" t="s">
        <v>184</v>
      </c>
      <c r="F58" s="13" t="s">
        <v>185</v>
      </c>
      <c r="G58" s="24">
        <v>1</v>
      </c>
      <c r="H58" s="35" t="s">
        <v>6</v>
      </c>
      <c r="I58" s="9" t="s">
        <v>45</v>
      </c>
      <c r="J58" s="24" t="s">
        <v>186</v>
      </c>
      <c r="K58" s="24"/>
      <c r="L58" s="24"/>
      <c r="M58" s="24" t="s">
        <v>186</v>
      </c>
      <c r="N58" s="24"/>
      <c r="O58" s="24">
        <v>3</v>
      </c>
      <c r="P58" s="36" t="s">
        <v>144</v>
      </c>
      <c r="R58" s="82"/>
      <c r="S58" s="82"/>
    </row>
    <row r="59" spans="1:19" ht="22.5" customHeight="1">
      <c r="A59" s="148"/>
      <c r="B59" s="158"/>
      <c r="C59" s="41"/>
      <c r="D59" s="24" t="s">
        <v>187</v>
      </c>
      <c r="E59" s="39" t="s">
        <v>188</v>
      </c>
      <c r="F59" s="38" t="s">
        <v>189</v>
      </c>
      <c r="G59" s="24">
        <v>1.5</v>
      </c>
      <c r="H59" s="35" t="s">
        <v>6</v>
      </c>
      <c r="I59" s="24" t="s">
        <v>148</v>
      </c>
      <c r="J59" s="24" t="s">
        <v>190</v>
      </c>
      <c r="K59" s="24"/>
      <c r="L59" s="24"/>
      <c r="M59" s="24" t="s">
        <v>190</v>
      </c>
      <c r="N59" s="24"/>
      <c r="O59" s="24">
        <v>1</v>
      </c>
      <c r="P59" s="36" t="s">
        <v>143</v>
      </c>
      <c r="Q59" s="83"/>
    </row>
    <row r="60" spans="1:19" ht="22.5" customHeight="1">
      <c r="A60" s="148"/>
      <c r="B60" s="158"/>
      <c r="C60" s="41"/>
      <c r="D60" s="11" t="s">
        <v>165</v>
      </c>
      <c r="E60" s="13" t="s">
        <v>166</v>
      </c>
      <c r="F60" s="13" t="s">
        <v>167</v>
      </c>
      <c r="G60" s="24">
        <v>4</v>
      </c>
      <c r="H60" s="35" t="s">
        <v>164</v>
      </c>
      <c r="I60" s="24" t="s">
        <v>157</v>
      </c>
      <c r="J60" s="24">
        <v>64</v>
      </c>
      <c r="K60" s="24">
        <v>48</v>
      </c>
      <c r="L60" s="24">
        <v>16</v>
      </c>
      <c r="M60" s="24"/>
      <c r="N60" s="24"/>
      <c r="O60" s="24">
        <v>2</v>
      </c>
      <c r="P60" s="36" t="s">
        <v>149</v>
      </c>
      <c r="Q60" s="83"/>
    </row>
    <row r="61" spans="1:19" ht="22.5" customHeight="1">
      <c r="A61" s="148"/>
      <c r="B61" s="158"/>
      <c r="C61" s="169" t="s">
        <v>194</v>
      </c>
      <c r="D61" s="4" t="s">
        <v>168</v>
      </c>
      <c r="E61" s="5" t="s">
        <v>253</v>
      </c>
      <c r="F61" s="48" t="s">
        <v>254</v>
      </c>
      <c r="G61" s="42">
        <v>5</v>
      </c>
      <c r="H61" s="46" t="s">
        <v>164</v>
      </c>
      <c r="I61" s="42" t="s">
        <v>157</v>
      </c>
      <c r="J61" s="42">
        <v>80</v>
      </c>
      <c r="K61" s="49">
        <v>52</v>
      </c>
      <c r="L61" s="49">
        <v>28</v>
      </c>
      <c r="M61" s="42"/>
      <c r="N61" s="42"/>
      <c r="O61" s="42">
        <v>3</v>
      </c>
      <c r="P61" s="47" t="s">
        <v>149</v>
      </c>
      <c r="Q61" s="83"/>
    </row>
    <row r="62" spans="1:19" ht="22.5" customHeight="1">
      <c r="A62" s="148"/>
      <c r="B62" s="158"/>
      <c r="C62" s="169"/>
      <c r="D62" s="4" t="s">
        <v>169</v>
      </c>
      <c r="E62" s="5" t="s">
        <v>193</v>
      </c>
      <c r="F62" s="55" t="s">
        <v>170</v>
      </c>
      <c r="G62" s="42">
        <v>4</v>
      </c>
      <c r="H62" s="46" t="s">
        <v>164</v>
      </c>
      <c r="I62" s="42" t="s">
        <v>157</v>
      </c>
      <c r="J62" s="42">
        <v>64</v>
      </c>
      <c r="K62" s="42">
        <v>40</v>
      </c>
      <c r="L62" s="42">
        <v>24</v>
      </c>
      <c r="M62" s="42"/>
      <c r="N62" s="42"/>
      <c r="O62" s="42">
        <v>3</v>
      </c>
      <c r="P62" s="47" t="s">
        <v>149</v>
      </c>
      <c r="Q62" s="83"/>
    </row>
    <row r="63" spans="1:19" ht="22.5" customHeight="1">
      <c r="A63" s="148"/>
      <c r="B63" s="158"/>
      <c r="C63" s="169"/>
      <c r="D63" s="11" t="s">
        <v>171</v>
      </c>
      <c r="E63" s="13" t="s">
        <v>172</v>
      </c>
      <c r="F63" s="13" t="s">
        <v>173</v>
      </c>
      <c r="G63" s="24">
        <v>4</v>
      </c>
      <c r="H63" s="35" t="s">
        <v>164</v>
      </c>
      <c r="I63" s="24" t="s">
        <v>157</v>
      </c>
      <c r="J63" s="24">
        <v>64</v>
      </c>
      <c r="K63" s="24">
        <v>60</v>
      </c>
      <c r="L63" s="24"/>
      <c r="M63" s="24"/>
      <c r="N63" s="24">
        <v>4</v>
      </c>
      <c r="O63" s="24">
        <v>4</v>
      </c>
      <c r="P63" s="36" t="s">
        <v>149</v>
      </c>
      <c r="Q63" s="83"/>
    </row>
    <row r="64" spans="1:19" ht="30.75" customHeight="1">
      <c r="A64" s="148"/>
      <c r="B64" s="158"/>
      <c r="C64" s="169"/>
      <c r="D64" s="4" t="s">
        <v>174</v>
      </c>
      <c r="E64" s="194" t="s">
        <v>175</v>
      </c>
      <c r="F64" s="56" t="s">
        <v>176</v>
      </c>
      <c r="G64" s="42">
        <v>5</v>
      </c>
      <c r="H64" s="46" t="s">
        <v>164</v>
      </c>
      <c r="I64" s="57" t="s">
        <v>118</v>
      </c>
      <c r="J64" s="42">
        <v>80</v>
      </c>
      <c r="K64" s="42">
        <v>48</v>
      </c>
      <c r="L64" s="42">
        <v>32</v>
      </c>
      <c r="M64" s="42"/>
      <c r="N64" s="42"/>
      <c r="O64" s="42">
        <v>4</v>
      </c>
      <c r="P64" s="58" t="s">
        <v>149</v>
      </c>
      <c r="Q64" s="83"/>
    </row>
    <row r="65" spans="1:19" s="44" customFormat="1" ht="22.5" customHeight="1">
      <c r="A65" s="148"/>
      <c r="B65" s="158"/>
      <c r="C65" s="169"/>
      <c r="D65" s="4" t="s">
        <v>177</v>
      </c>
      <c r="E65" s="43" t="s">
        <v>178</v>
      </c>
      <c r="F65" s="45" t="s">
        <v>179</v>
      </c>
      <c r="G65" s="42">
        <v>3.5</v>
      </c>
      <c r="H65" s="46" t="s">
        <v>164</v>
      </c>
      <c r="I65" s="42" t="s">
        <v>157</v>
      </c>
      <c r="J65" s="42">
        <v>56</v>
      </c>
      <c r="K65" s="42">
        <v>48</v>
      </c>
      <c r="L65" s="42">
        <v>8</v>
      </c>
      <c r="M65" s="42"/>
      <c r="N65" s="42"/>
      <c r="O65" s="42">
        <v>4</v>
      </c>
      <c r="P65" s="47" t="s">
        <v>149</v>
      </c>
      <c r="Q65" s="87"/>
      <c r="R65" s="88"/>
      <c r="S65" s="88"/>
    </row>
    <row r="66" spans="1:19" s="44" customFormat="1" ht="21" customHeight="1">
      <c r="A66" s="148"/>
      <c r="B66" s="158"/>
      <c r="C66" s="169"/>
      <c r="D66" s="4" t="s">
        <v>180</v>
      </c>
      <c r="E66" s="5" t="s">
        <v>181</v>
      </c>
      <c r="F66" s="48" t="s">
        <v>182</v>
      </c>
      <c r="G66" s="42">
        <v>3</v>
      </c>
      <c r="H66" s="46" t="s">
        <v>164</v>
      </c>
      <c r="I66" s="42" t="s">
        <v>148</v>
      </c>
      <c r="J66" s="42">
        <v>48</v>
      </c>
      <c r="K66" s="42">
        <v>40</v>
      </c>
      <c r="L66" s="42">
        <v>8</v>
      </c>
      <c r="M66" s="42"/>
      <c r="N66" s="42"/>
      <c r="O66" s="42">
        <v>5</v>
      </c>
      <c r="P66" s="47" t="s">
        <v>149</v>
      </c>
      <c r="Q66" s="87"/>
    </row>
    <row r="67" spans="1:19" ht="21" customHeight="1">
      <c r="A67" s="148"/>
      <c r="B67" s="158"/>
      <c r="C67" s="170"/>
      <c r="D67" s="11" t="s">
        <v>191</v>
      </c>
      <c r="E67" s="195" t="s">
        <v>315</v>
      </c>
      <c r="F67" s="63" t="s">
        <v>192</v>
      </c>
      <c r="G67" s="11">
        <v>2</v>
      </c>
      <c r="H67" s="64" t="s">
        <v>6</v>
      </c>
      <c r="I67" s="11" t="s">
        <v>148</v>
      </c>
      <c r="J67" s="11">
        <v>32</v>
      </c>
      <c r="K67" s="11"/>
      <c r="L67" s="11">
        <v>32</v>
      </c>
      <c r="M67" s="11"/>
      <c r="N67" s="11"/>
      <c r="O67" s="11">
        <v>5</v>
      </c>
      <c r="P67" s="65" t="s">
        <v>149</v>
      </c>
      <c r="Q67" s="83"/>
      <c r="R67" s="82"/>
      <c r="S67" s="82"/>
    </row>
    <row r="68" spans="1:19" ht="29.25" customHeight="1">
      <c r="A68" s="148"/>
      <c r="B68" s="158"/>
      <c r="C68" s="60"/>
      <c r="D68" s="70" t="s">
        <v>203</v>
      </c>
      <c r="E68" s="71" t="s">
        <v>204</v>
      </c>
      <c r="F68" s="72" t="s">
        <v>205</v>
      </c>
      <c r="G68" s="70">
        <v>5</v>
      </c>
      <c r="H68" s="113" t="s">
        <v>164</v>
      </c>
      <c r="I68" s="113" t="s">
        <v>118</v>
      </c>
      <c r="J68" s="35">
        <v>80</v>
      </c>
      <c r="K68" s="35">
        <v>64</v>
      </c>
      <c r="L68" s="35">
        <v>16</v>
      </c>
      <c r="M68" s="35"/>
      <c r="N68" s="35"/>
      <c r="O68" s="35">
        <v>5</v>
      </c>
      <c r="P68" s="113" t="s">
        <v>144</v>
      </c>
      <c r="Q68" s="83"/>
      <c r="R68" s="82"/>
      <c r="S68" s="82"/>
    </row>
    <row r="69" spans="1:19" ht="26.25" customHeight="1">
      <c r="A69" s="148"/>
      <c r="B69" s="158"/>
      <c r="C69" s="137" t="s">
        <v>195</v>
      </c>
      <c r="D69" s="70" t="s">
        <v>206</v>
      </c>
      <c r="E69" s="71" t="s">
        <v>207</v>
      </c>
      <c r="F69" s="72" t="s">
        <v>208</v>
      </c>
      <c r="G69" s="70">
        <v>3</v>
      </c>
      <c r="H69" s="113" t="s">
        <v>164</v>
      </c>
      <c r="I69" s="113" t="s">
        <v>118</v>
      </c>
      <c r="J69" s="35">
        <v>48</v>
      </c>
      <c r="K69" s="35">
        <v>36</v>
      </c>
      <c r="L69" s="35">
        <v>12</v>
      </c>
      <c r="M69" s="35"/>
      <c r="N69" s="35"/>
      <c r="O69" s="35">
        <v>3</v>
      </c>
      <c r="P69" s="113" t="s">
        <v>144</v>
      </c>
      <c r="Q69" s="83"/>
      <c r="R69" s="83"/>
      <c r="S69" s="83"/>
    </row>
    <row r="70" spans="1:19" ht="29.25" customHeight="1">
      <c r="A70" s="148"/>
      <c r="B70" s="158"/>
      <c r="C70" s="137"/>
      <c r="D70" s="66" t="s">
        <v>196</v>
      </c>
      <c r="E70" s="67" t="s">
        <v>259</v>
      </c>
      <c r="F70" s="68" t="s">
        <v>288</v>
      </c>
      <c r="G70" s="69">
        <v>1</v>
      </c>
      <c r="H70" s="114" t="s">
        <v>6</v>
      </c>
      <c r="I70" s="114" t="s">
        <v>323</v>
      </c>
      <c r="J70" s="114">
        <v>16</v>
      </c>
      <c r="K70" s="114"/>
      <c r="L70" s="114"/>
      <c r="M70" s="114">
        <v>16</v>
      </c>
      <c r="N70" s="114"/>
      <c r="O70" s="114">
        <v>3</v>
      </c>
      <c r="P70" s="115" t="s">
        <v>143</v>
      </c>
      <c r="Q70" s="83"/>
      <c r="R70" s="83"/>
      <c r="S70" s="83"/>
    </row>
    <row r="71" spans="1:19" ht="26.25" customHeight="1">
      <c r="A71" s="148"/>
      <c r="B71" s="158"/>
      <c r="C71" s="137"/>
      <c r="D71" s="4" t="s">
        <v>197</v>
      </c>
      <c r="E71" s="6" t="s">
        <v>318</v>
      </c>
      <c r="F71" s="45" t="s">
        <v>289</v>
      </c>
      <c r="G71" s="42">
        <v>1</v>
      </c>
      <c r="H71" s="46" t="s">
        <v>6</v>
      </c>
      <c r="I71" s="46" t="s">
        <v>323</v>
      </c>
      <c r="J71" s="46">
        <v>16</v>
      </c>
      <c r="K71" s="46"/>
      <c r="L71" s="46"/>
      <c r="M71" s="46">
        <v>16</v>
      </c>
      <c r="N71" s="46"/>
      <c r="O71" s="46">
        <v>4</v>
      </c>
      <c r="P71" s="116" t="s">
        <v>153</v>
      </c>
      <c r="Q71" s="83"/>
      <c r="R71" s="83"/>
      <c r="S71" s="83"/>
    </row>
    <row r="72" spans="1:19" ht="24.75" customHeight="1">
      <c r="A72" s="148"/>
      <c r="B72" s="158"/>
      <c r="C72" s="137"/>
      <c r="D72" s="4" t="s">
        <v>198</v>
      </c>
      <c r="E72" s="6" t="s">
        <v>260</v>
      </c>
      <c r="F72" s="45" t="s">
        <v>290</v>
      </c>
      <c r="G72" s="42">
        <v>1</v>
      </c>
      <c r="H72" s="46" t="s">
        <v>6</v>
      </c>
      <c r="I72" s="46" t="s">
        <v>323</v>
      </c>
      <c r="J72" s="46">
        <v>16</v>
      </c>
      <c r="K72" s="46"/>
      <c r="L72" s="46"/>
      <c r="M72" s="46">
        <v>16</v>
      </c>
      <c r="N72" s="46"/>
      <c r="O72" s="46">
        <v>5</v>
      </c>
      <c r="P72" s="116" t="s">
        <v>153</v>
      </c>
      <c r="Q72" s="83"/>
      <c r="R72" s="83"/>
      <c r="S72" s="83"/>
    </row>
    <row r="73" spans="1:19" ht="25.5" customHeight="1">
      <c r="A73" s="148"/>
      <c r="B73" s="158"/>
      <c r="C73" s="137"/>
      <c r="D73" s="4" t="s">
        <v>199</v>
      </c>
      <c r="E73" s="6" t="s">
        <v>261</v>
      </c>
      <c r="F73" s="45" t="s">
        <v>291</v>
      </c>
      <c r="G73" s="42">
        <v>1</v>
      </c>
      <c r="H73" s="46" t="s">
        <v>6</v>
      </c>
      <c r="I73" s="46" t="s">
        <v>323</v>
      </c>
      <c r="J73" s="46">
        <v>16</v>
      </c>
      <c r="K73" s="46"/>
      <c r="L73" s="46"/>
      <c r="M73" s="46">
        <v>16</v>
      </c>
      <c r="N73" s="46"/>
      <c r="O73" s="46">
        <v>6</v>
      </c>
      <c r="P73" s="116" t="s">
        <v>153</v>
      </c>
      <c r="Q73" s="83"/>
      <c r="R73" s="83"/>
      <c r="S73" s="83"/>
    </row>
    <row r="74" spans="1:19" ht="35.25" customHeight="1">
      <c r="A74" s="148"/>
      <c r="B74" s="158"/>
      <c r="C74" s="137"/>
      <c r="D74" s="42" t="s">
        <v>200</v>
      </c>
      <c r="E74" s="6" t="s">
        <v>262</v>
      </c>
      <c r="F74" s="45" t="s">
        <v>292</v>
      </c>
      <c r="G74" s="42">
        <v>1</v>
      </c>
      <c r="H74" s="46" t="s">
        <v>6</v>
      </c>
      <c r="I74" s="46" t="s">
        <v>323</v>
      </c>
      <c r="J74" s="46">
        <v>16</v>
      </c>
      <c r="K74" s="46"/>
      <c r="L74" s="46"/>
      <c r="M74" s="46">
        <v>16</v>
      </c>
      <c r="N74" s="46"/>
      <c r="O74" s="46">
        <v>7</v>
      </c>
      <c r="P74" s="116" t="s">
        <v>149</v>
      </c>
      <c r="Q74" s="83"/>
      <c r="R74" s="83"/>
      <c r="S74" s="83"/>
    </row>
    <row r="75" spans="1:19" ht="21" customHeight="1">
      <c r="A75" s="149"/>
      <c r="B75" s="150" t="s">
        <v>17</v>
      </c>
      <c r="C75" s="151"/>
      <c r="D75" s="151"/>
      <c r="E75" s="151"/>
      <c r="F75" s="152"/>
      <c r="G75" s="73">
        <f>SUM(G52:G74)</f>
        <v>58</v>
      </c>
      <c r="H75" s="174"/>
      <c r="I75" s="175"/>
      <c r="J75" s="175"/>
      <c r="K75" s="175"/>
      <c r="L75" s="175"/>
      <c r="M75" s="175"/>
      <c r="N75" s="175"/>
      <c r="O75" s="176"/>
      <c r="P75" s="117"/>
      <c r="Q75" s="83"/>
      <c r="R75" s="83"/>
      <c r="S75" s="83"/>
    </row>
    <row r="76" spans="1:19" s="44" customFormat="1" ht="21" customHeight="1">
      <c r="A76" s="158" t="s">
        <v>252</v>
      </c>
      <c r="B76" s="180"/>
      <c r="C76" s="76"/>
      <c r="D76" s="77" t="s">
        <v>209</v>
      </c>
      <c r="E76" s="78" t="s">
        <v>214</v>
      </c>
      <c r="F76" s="79" t="s">
        <v>210</v>
      </c>
      <c r="G76" s="77">
        <v>3</v>
      </c>
      <c r="H76" s="84" t="s">
        <v>164</v>
      </c>
      <c r="I76" s="84" t="s">
        <v>118</v>
      </c>
      <c r="J76" s="46">
        <v>48</v>
      </c>
      <c r="K76" s="46">
        <v>32</v>
      </c>
      <c r="L76" s="46">
        <v>16</v>
      </c>
      <c r="M76" s="46"/>
      <c r="N76" s="46"/>
      <c r="O76" s="46">
        <v>5</v>
      </c>
      <c r="P76" s="84" t="s">
        <v>274</v>
      </c>
      <c r="Q76" s="87"/>
      <c r="R76" s="88"/>
      <c r="S76" s="88"/>
    </row>
    <row r="77" spans="1:19" s="44" customFormat="1" ht="21" customHeight="1">
      <c r="A77" s="158"/>
      <c r="B77" s="180"/>
      <c r="C77" s="76"/>
      <c r="D77" s="77" t="s">
        <v>219</v>
      </c>
      <c r="E77" s="78" t="s">
        <v>220</v>
      </c>
      <c r="F77" s="79" t="s">
        <v>221</v>
      </c>
      <c r="G77" s="77">
        <v>3</v>
      </c>
      <c r="H77" s="84" t="s">
        <v>281</v>
      </c>
      <c r="I77" s="84" t="s">
        <v>118</v>
      </c>
      <c r="J77" s="46">
        <v>48</v>
      </c>
      <c r="K77" s="46">
        <v>32</v>
      </c>
      <c r="L77" s="46">
        <v>16</v>
      </c>
      <c r="M77" s="46"/>
      <c r="N77" s="46"/>
      <c r="O77" s="46">
        <v>6</v>
      </c>
      <c r="P77" s="84" t="s">
        <v>251</v>
      </c>
      <c r="Q77" s="87"/>
      <c r="R77" s="88"/>
      <c r="S77" s="88"/>
    </row>
    <row r="78" spans="1:19" ht="21" customHeight="1">
      <c r="A78" s="158"/>
      <c r="B78" s="180"/>
      <c r="C78" s="158" t="s">
        <v>6</v>
      </c>
      <c r="D78" s="70" t="s">
        <v>211</v>
      </c>
      <c r="E78" s="71" t="s">
        <v>212</v>
      </c>
      <c r="F78" s="72" t="s">
        <v>213</v>
      </c>
      <c r="G78" s="70">
        <v>3</v>
      </c>
      <c r="H78" s="113" t="s">
        <v>164</v>
      </c>
      <c r="I78" s="113" t="s">
        <v>118</v>
      </c>
      <c r="J78" s="35">
        <v>48</v>
      </c>
      <c r="K78" s="35">
        <v>40</v>
      </c>
      <c r="L78" s="35"/>
      <c r="M78" s="35"/>
      <c r="N78" s="35">
        <v>8</v>
      </c>
      <c r="O78" s="35">
        <v>6</v>
      </c>
      <c r="P78" s="113" t="s">
        <v>144</v>
      </c>
      <c r="Q78" s="83"/>
    </row>
    <row r="79" spans="1:19" ht="21" customHeight="1">
      <c r="A79" s="158"/>
      <c r="B79" s="180"/>
      <c r="C79" s="158"/>
      <c r="D79" s="70" t="s">
        <v>215</v>
      </c>
      <c r="E79" s="19" t="s">
        <v>18</v>
      </c>
      <c r="F79" s="13" t="s">
        <v>19</v>
      </c>
      <c r="G79" s="24">
        <v>2</v>
      </c>
      <c r="H79" s="113" t="s">
        <v>6</v>
      </c>
      <c r="I79" s="113" t="s">
        <v>45</v>
      </c>
      <c r="J79" s="35" t="s">
        <v>324</v>
      </c>
      <c r="K79" s="35"/>
      <c r="L79" s="35"/>
      <c r="M79" s="35" t="s">
        <v>324</v>
      </c>
      <c r="N79" s="35"/>
      <c r="O79" s="35">
        <v>7</v>
      </c>
      <c r="P79" s="84" t="s">
        <v>143</v>
      </c>
      <c r="Q79" s="83"/>
      <c r="R79" s="89"/>
    </row>
    <row r="80" spans="1:19" ht="21" customHeight="1">
      <c r="A80" s="158"/>
      <c r="B80" s="180"/>
      <c r="C80" s="158"/>
      <c r="D80" s="70" t="s">
        <v>216</v>
      </c>
      <c r="E80" s="19" t="s">
        <v>20</v>
      </c>
      <c r="F80" s="13" t="s">
        <v>21</v>
      </c>
      <c r="G80" s="24">
        <v>10</v>
      </c>
      <c r="H80" s="113" t="s">
        <v>6</v>
      </c>
      <c r="I80" s="113" t="s">
        <v>45</v>
      </c>
      <c r="J80" s="35" t="s">
        <v>325</v>
      </c>
      <c r="K80" s="35"/>
      <c r="L80" s="35"/>
      <c r="M80" s="35" t="s">
        <v>325</v>
      </c>
      <c r="N80" s="35"/>
      <c r="O80" s="118" t="s">
        <v>217</v>
      </c>
      <c r="P80" s="113" t="s">
        <v>144</v>
      </c>
      <c r="Q80" s="83"/>
      <c r="R80" s="82"/>
    </row>
    <row r="81" spans="1:19" ht="21" customHeight="1">
      <c r="A81" s="158"/>
      <c r="B81" s="181"/>
      <c r="C81" s="158" t="s">
        <v>11</v>
      </c>
      <c r="D81" s="158"/>
      <c r="E81" s="158"/>
      <c r="F81" s="158"/>
      <c r="G81" s="14">
        <f>SUM(G76:G80)</f>
        <v>21</v>
      </c>
      <c r="H81" s="167"/>
      <c r="I81" s="167"/>
      <c r="J81" s="167"/>
      <c r="K81" s="167"/>
      <c r="L81" s="167"/>
      <c r="M81" s="167"/>
      <c r="N81" s="167"/>
      <c r="O81" s="167"/>
      <c r="P81" s="107"/>
    </row>
    <row r="82" spans="1:19" ht="24.75" customHeight="1">
      <c r="A82" s="158"/>
      <c r="B82" s="158" t="s">
        <v>13</v>
      </c>
      <c r="C82" s="158" t="s">
        <v>267</v>
      </c>
      <c r="D82" s="70" t="s">
        <v>222</v>
      </c>
      <c r="E82" s="71" t="s">
        <v>271</v>
      </c>
      <c r="F82" s="72" t="s">
        <v>272</v>
      </c>
      <c r="G82" s="70">
        <v>2</v>
      </c>
      <c r="H82" s="113" t="s">
        <v>13</v>
      </c>
      <c r="I82" s="113" t="s">
        <v>245</v>
      </c>
      <c r="J82" s="35">
        <v>32</v>
      </c>
      <c r="K82" s="35">
        <v>24</v>
      </c>
      <c r="L82" s="35">
        <v>8</v>
      </c>
      <c r="M82" s="35"/>
      <c r="N82" s="35"/>
      <c r="O82" s="35">
        <v>5</v>
      </c>
      <c r="P82" s="113" t="s">
        <v>274</v>
      </c>
      <c r="Q82" s="83"/>
      <c r="R82" s="82"/>
    </row>
    <row r="83" spans="1:19" ht="22.5" customHeight="1">
      <c r="A83" s="158"/>
      <c r="B83" s="158"/>
      <c r="C83" s="158"/>
      <c r="D83" s="70" t="s">
        <v>218</v>
      </c>
      <c r="E83" s="71" t="s">
        <v>269</v>
      </c>
      <c r="F83" s="72" t="s">
        <v>270</v>
      </c>
      <c r="G83" s="70">
        <v>2</v>
      </c>
      <c r="H83" s="113" t="s">
        <v>13</v>
      </c>
      <c r="I83" s="113" t="s">
        <v>245</v>
      </c>
      <c r="J83" s="35">
        <v>32</v>
      </c>
      <c r="K83" s="35">
        <v>16</v>
      </c>
      <c r="L83" s="35">
        <v>16</v>
      </c>
      <c r="M83" s="35"/>
      <c r="N83" s="35"/>
      <c r="O83" s="35">
        <v>6</v>
      </c>
      <c r="P83" s="113" t="s">
        <v>251</v>
      </c>
      <c r="R83" s="90"/>
    </row>
    <row r="84" spans="1:19" s="44" customFormat="1" ht="21" customHeight="1">
      <c r="A84" s="158"/>
      <c r="B84" s="158"/>
      <c r="C84" s="158"/>
      <c r="D84" s="77" t="s">
        <v>222</v>
      </c>
      <c r="E84" s="78" t="s">
        <v>246</v>
      </c>
      <c r="F84" s="79" t="s">
        <v>247</v>
      </c>
      <c r="G84" s="77">
        <v>2</v>
      </c>
      <c r="H84" s="84" t="s">
        <v>13</v>
      </c>
      <c r="I84" s="84" t="s">
        <v>245</v>
      </c>
      <c r="J84" s="46">
        <v>32</v>
      </c>
      <c r="K84" s="46">
        <v>16</v>
      </c>
      <c r="L84" s="46">
        <v>16</v>
      </c>
      <c r="M84" s="46"/>
      <c r="N84" s="46"/>
      <c r="O84" s="46">
        <v>6</v>
      </c>
      <c r="P84" s="84" t="s">
        <v>274</v>
      </c>
      <c r="Q84" s="83"/>
      <c r="R84" s="83"/>
      <c r="S84" s="83"/>
    </row>
    <row r="85" spans="1:19" ht="27" customHeight="1">
      <c r="A85" s="158"/>
      <c r="B85" s="158"/>
      <c r="C85" s="158"/>
      <c r="D85" s="70" t="s">
        <v>223</v>
      </c>
      <c r="E85" s="71" t="s">
        <v>268</v>
      </c>
      <c r="F85" s="72" t="s">
        <v>224</v>
      </c>
      <c r="G85" s="70">
        <v>2</v>
      </c>
      <c r="H85" s="113" t="s">
        <v>13</v>
      </c>
      <c r="I85" s="113" t="s">
        <v>45</v>
      </c>
      <c r="J85" s="35">
        <v>32</v>
      </c>
      <c r="K85" s="35"/>
      <c r="L85" s="35">
        <v>32</v>
      </c>
      <c r="M85" s="35"/>
      <c r="N85" s="35"/>
      <c r="O85" s="35">
        <v>6</v>
      </c>
      <c r="P85" s="113" t="s">
        <v>143</v>
      </c>
      <c r="Q85" s="83"/>
      <c r="R85" s="83"/>
      <c r="S85" s="83"/>
    </row>
    <row r="86" spans="1:19" ht="21" customHeight="1">
      <c r="A86" s="158"/>
      <c r="B86" s="158"/>
      <c r="C86" s="158" t="s">
        <v>279</v>
      </c>
      <c r="D86" s="42" t="s">
        <v>277</v>
      </c>
      <c r="E86" s="91" t="s">
        <v>293</v>
      </c>
      <c r="F86" s="43" t="s">
        <v>278</v>
      </c>
      <c r="G86" s="42">
        <v>2</v>
      </c>
      <c r="H86" s="119" t="s">
        <v>13</v>
      </c>
      <c r="I86" s="119" t="s">
        <v>245</v>
      </c>
      <c r="J86" s="46">
        <v>32</v>
      </c>
      <c r="K86" s="46">
        <v>16</v>
      </c>
      <c r="L86" s="46">
        <v>16</v>
      </c>
      <c r="M86" s="46"/>
      <c r="N86" s="46"/>
      <c r="O86" s="46">
        <v>6</v>
      </c>
      <c r="P86" s="119" t="s">
        <v>251</v>
      </c>
      <c r="Q86" s="83"/>
      <c r="R86" s="83"/>
      <c r="S86" s="83"/>
    </row>
    <row r="87" spans="1:19" ht="24.75" customHeight="1">
      <c r="A87" s="158"/>
      <c r="B87" s="158"/>
      <c r="C87" s="158"/>
      <c r="D87" s="42" t="s">
        <v>321</v>
      </c>
      <c r="E87" s="43" t="s">
        <v>319</v>
      </c>
      <c r="F87" s="43" t="s">
        <v>320</v>
      </c>
      <c r="G87" s="42">
        <v>2</v>
      </c>
      <c r="H87" s="49" t="s">
        <v>266</v>
      </c>
      <c r="I87" s="49" t="s">
        <v>245</v>
      </c>
      <c r="J87" s="46">
        <v>32</v>
      </c>
      <c r="K87" s="46">
        <v>16</v>
      </c>
      <c r="L87" s="46">
        <v>16</v>
      </c>
      <c r="M87" s="49"/>
      <c r="N87" s="49"/>
      <c r="O87" s="46">
        <v>5</v>
      </c>
      <c r="P87" s="120" t="s">
        <v>274</v>
      </c>
      <c r="Q87" s="83"/>
      <c r="R87" s="83"/>
      <c r="S87" s="83"/>
    </row>
    <row r="88" spans="1:19" ht="21" customHeight="1">
      <c r="A88" s="158"/>
      <c r="B88" s="158"/>
      <c r="C88" s="158"/>
      <c r="D88" s="42" t="s">
        <v>276</v>
      </c>
      <c r="E88" s="43" t="s">
        <v>294</v>
      </c>
      <c r="F88" s="43" t="s">
        <v>286</v>
      </c>
      <c r="G88" s="42">
        <v>2</v>
      </c>
      <c r="H88" s="49" t="s">
        <v>326</v>
      </c>
      <c r="I88" s="49" t="s">
        <v>327</v>
      </c>
      <c r="J88" s="46">
        <v>32</v>
      </c>
      <c r="K88" s="46">
        <v>24</v>
      </c>
      <c r="L88" s="46"/>
      <c r="M88" s="49"/>
      <c r="N88" s="46">
        <v>8</v>
      </c>
      <c r="O88" s="46">
        <v>6</v>
      </c>
      <c r="P88" s="121" t="s">
        <v>251</v>
      </c>
      <c r="Q88" s="83"/>
      <c r="R88" s="83"/>
      <c r="S88" s="83"/>
    </row>
    <row r="89" spans="1:19" ht="26.25" customHeight="1">
      <c r="A89" s="158"/>
      <c r="B89" s="158"/>
      <c r="C89" s="158"/>
      <c r="D89" s="42" t="s">
        <v>225</v>
      </c>
      <c r="E89" s="80" t="s">
        <v>280</v>
      </c>
      <c r="F89" s="43" t="s">
        <v>226</v>
      </c>
      <c r="G89" s="42">
        <v>2</v>
      </c>
      <c r="H89" s="84" t="s">
        <v>13</v>
      </c>
      <c r="I89" s="84" t="s">
        <v>45</v>
      </c>
      <c r="J89" s="46">
        <v>32</v>
      </c>
      <c r="K89" s="46"/>
      <c r="L89" s="46">
        <v>32</v>
      </c>
      <c r="M89" s="46"/>
      <c r="N89" s="46"/>
      <c r="O89" s="46">
        <v>6</v>
      </c>
      <c r="P89" s="84" t="s">
        <v>143</v>
      </c>
      <c r="Q89" s="83"/>
      <c r="R89" s="83"/>
      <c r="S89" s="83"/>
    </row>
    <row r="90" spans="1:19" ht="27.75" customHeight="1">
      <c r="A90" s="158"/>
      <c r="B90" s="158"/>
      <c r="C90" s="158" t="s">
        <v>273</v>
      </c>
      <c r="D90" s="42" t="s">
        <v>239</v>
      </c>
      <c r="E90" s="80" t="s">
        <v>314</v>
      </c>
      <c r="F90" s="43" t="s">
        <v>240</v>
      </c>
      <c r="G90" s="42">
        <v>2</v>
      </c>
      <c r="H90" s="84" t="s">
        <v>13</v>
      </c>
      <c r="I90" s="84" t="s">
        <v>45</v>
      </c>
      <c r="J90" s="46">
        <v>32</v>
      </c>
      <c r="K90" s="46">
        <v>16</v>
      </c>
      <c r="L90" s="46">
        <v>16</v>
      </c>
      <c r="M90" s="46"/>
      <c r="N90" s="46"/>
      <c r="O90" s="46">
        <v>6</v>
      </c>
      <c r="P90" s="84" t="s">
        <v>251</v>
      </c>
      <c r="Q90" s="83"/>
      <c r="R90" s="90"/>
    </row>
    <row r="91" spans="1:19" s="44" customFormat="1" ht="28.5" customHeight="1">
      <c r="A91" s="158"/>
      <c r="B91" s="158"/>
      <c r="C91" s="158"/>
      <c r="D91" s="42" t="s">
        <v>287</v>
      </c>
      <c r="E91" s="43" t="s">
        <v>295</v>
      </c>
      <c r="F91" s="43" t="s">
        <v>322</v>
      </c>
      <c r="G91" s="42">
        <v>2</v>
      </c>
      <c r="H91" s="49" t="s">
        <v>266</v>
      </c>
      <c r="I91" s="49" t="s">
        <v>245</v>
      </c>
      <c r="J91" s="46">
        <v>32</v>
      </c>
      <c r="K91" s="46">
        <v>16</v>
      </c>
      <c r="L91" s="46">
        <v>16</v>
      </c>
      <c r="M91" s="49"/>
      <c r="N91" s="49"/>
      <c r="O91" s="46">
        <v>5</v>
      </c>
      <c r="P91" s="122" t="s">
        <v>274</v>
      </c>
      <c r="Q91" s="85"/>
      <c r="R91" s="90"/>
    </row>
    <row r="92" spans="1:19" s="44" customFormat="1" ht="28.5" customHeight="1">
      <c r="A92" s="158"/>
      <c r="B92" s="158"/>
      <c r="C92" s="158"/>
      <c r="D92" s="42" t="s">
        <v>232</v>
      </c>
      <c r="E92" s="80" t="s">
        <v>242</v>
      </c>
      <c r="F92" s="43" t="s">
        <v>244</v>
      </c>
      <c r="G92" s="42">
        <v>2</v>
      </c>
      <c r="H92" s="84" t="s">
        <v>13</v>
      </c>
      <c r="I92" s="84" t="s">
        <v>45</v>
      </c>
      <c r="J92" s="46">
        <v>32</v>
      </c>
      <c r="K92" s="46">
        <v>24</v>
      </c>
      <c r="L92" s="46">
        <v>8</v>
      </c>
      <c r="M92" s="46"/>
      <c r="N92" s="46"/>
      <c r="O92" s="46">
        <v>6</v>
      </c>
      <c r="P92" s="84" t="s">
        <v>251</v>
      </c>
      <c r="Q92" s="86"/>
      <c r="R92" s="90"/>
    </row>
    <row r="93" spans="1:19" ht="28.5" customHeight="1">
      <c r="A93" s="158"/>
      <c r="B93" s="158"/>
      <c r="C93" s="158"/>
      <c r="D93" s="70" t="s">
        <v>230</v>
      </c>
      <c r="E93" s="71" t="s">
        <v>275</v>
      </c>
      <c r="F93" s="72" t="s">
        <v>231</v>
      </c>
      <c r="G93" s="70">
        <v>2</v>
      </c>
      <c r="H93" s="113" t="s">
        <v>13</v>
      </c>
      <c r="I93" s="113" t="s">
        <v>45</v>
      </c>
      <c r="J93" s="35">
        <v>32</v>
      </c>
      <c r="K93" s="35"/>
      <c r="L93" s="35">
        <v>32</v>
      </c>
      <c r="M93" s="35"/>
      <c r="N93" s="35"/>
      <c r="O93" s="35">
        <v>6</v>
      </c>
      <c r="P93" s="113" t="s">
        <v>143</v>
      </c>
      <c r="Q93" s="83"/>
      <c r="R93" s="90"/>
    </row>
    <row r="94" spans="1:19" ht="21" customHeight="1">
      <c r="A94" s="158"/>
      <c r="B94" s="158"/>
      <c r="C94" s="59"/>
      <c r="D94" s="172" t="s">
        <v>248</v>
      </c>
      <c r="E94" s="173"/>
      <c r="F94" s="173"/>
      <c r="G94" s="70">
        <v>8</v>
      </c>
      <c r="H94" s="171"/>
      <c r="I94" s="171"/>
      <c r="J94" s="171"/>
      <c r="K94" s="171"/>
      <c r="L94" s="171"/>
      <c r="M94" s="171"/>
      <c r="N94" s="171"/>
      <c r="O94" s="171"/>
      <c r="P94" s="171"/>
    </row>
    <row r="95" spans="1:19" ht="21" customHeight="1">
      <c r="A95" s="158"/>
      <c r="B95" s="158"/>
      <c r="C95" s="158" t="s">
        <v>22</v>
      </c>
      <c r="D95" s="70" t="s">
        <v>233</v>
      </c>
      <c r="E95" s="71" t="s">
        <v>234</v>
      </c>
      <c r="F95" s="72" t="s">
        <v>235</v>
      </c>
      <c r="G95" s="70">
        <v>2</v>
      </c>
      <c r="H95" s="113" t="s">
        <v>13</v>
      </c>
      <c r="I95" s="113" t="s">
        <v>45</v>
      </c>
      <c r="J95" s="35">
        <v>32</v>
      </c>
      <c r="K95" s="35">
        <v>24</v>
      </c>
      <c r="L95" s="35">
        <v>8</v>
      </c>
      <c r="M95" s="35"/>
      <c r="N95" s="35"/>
      <c r="O95" s="35">
        <v>6</v>
      </c>
      <c r="P95" s="84" t="s">
        <v>274</v>
      </c>
      <c r="Q95" s="83"/>
      <c r="R95" s="82"/>
    </row>
    <row r="96" spans="1:19" ht="21" customHeight="1">
      <c r="A96" s="158"/>
      <c r="B96" s="158"/>
      <c r="C96" s="158"/>
      <c r="D96" s="42" t="s">
        <v>263</v>
      </c>
      <c r="E96" s="80" t="s">
        <v>283</v>
      </c>
      <c r="F96" s="43" t="s">
        <v>284</v>
      </c>
      <c r="G96" s="42">
        <v>2</v>
      </c>
      <c r="H96" s="84" t="s">
        <v>13</v>
      </c>
      <c r="I96" s="84" t="s">
        <v>45</v>
      </c>
      <c r="J96" s="46">
        <v>32</v>
      </c>
      <c r="K96" s="46">
        <v>24</v>
      </c>
      <c r="L96" s="46">
        <v>8</v>
      </c>
      <c r="M96" s="46"/>
      <c r="N96" s="46"/>
      <c r="O96" s="46">
        <v>6</v>
      </c>
      <c r="P96" s="84" t="s">
        <v>274</v>
      </c>
      <c r="Q96" s="83"/>
      <c r="R96" s="82"/>
    </row>
    <row r="97" spans="1:19" ht="26.25" customHeight="1">
      <c r="A97" s="158"/>
      <c r="B97" s="158"/>
      <c r="C97" s="158"/>
      <c r="D97" s="42" t="s">
        <v>236</v>
      </c>
      <c r="E97" s="80" t="s">
        <v>249</v>
      </c>
      <c r="F97" s="43" t="s">
        <v>250</v>
      </c>
      <c r="G97" s="42">
        <v>2</v>
      </c>
      <c r="H97" s="84" t="s">
        <v>13</v>
      </c>
      <c r="I97" s="84" t="s">
        <v>45</v>
      </c>
      <c r="J97" s="46">
        <v>32</v>
      </c>
      <c r="K97" s="46">
        <v>24</v>
      </c>
      <c r="L97" s="46">
        <v>8</v>
      </c>
      <c r="M97" s="46"/>
      <c r="N97" s="46"/>
      <c r="O97" s="46">
        <v>6</v>
      </c>
      <c r="P97" s="84" t="s">
        <v>274</v>
      </c>
      <c r="Q97" s="83"/>
      <c r="R97" s="82"/>
    </row>
    <row r="98" spans="1:19" ht="26.25" customHeight="1">
      <c r="A98" s="158"/>
      <c r="B98" s="158"/>
      <c r="C98" s="158"/>
      <c r="D98" s="46" t="s">
        <v>285</v>
      </c>
      <c r="E98" s="123" t="s">
        <v>328</v>
      </c>
      <c r="F98" s="123" t="s">
        <v>282</v>
      </c>
      <c r="G98" s="46">
        <v>2</v>
      </c>
      <c r="H98" s="84" t="s">
        <v>13</v>
      </c>
      <c r="I98" s="84" t="s">
        <v>45</v>
      </c>
      <c r="J98" s="46">
        <v>32</v>
      </c>
      <c r="K98" s="46">
        <v>24</v>
      </c>
      <c r="L98" s="46">
        <v>8</v>
      </c>
      <c r="M98" s="46"/>
      <c r="N98" s="46"/>
      <c r="O98" s="46">
        <v>6</v>
      </c>
      <c r="P98" s="84" t="s">
        <v>274</v>
      </c>
      <c r="Q98" s="83"/>
      <c r="R98" s="82"/>
    </row>
    <row r="99" spans="1:19" ht="21" customHeight="1">
      <c r="A99" s="158"/>
      <c r="B99" s="158"/>
      <c r="C99" s="158"/>
      <c r="D99" s="46" t="s">
        <v>264</v>
      </c>
      <c r="E99" s="124" t="s">
        <v>329</v>
      </c>
      <c r="F99" s="123" t="s">
        <v>265</v>
      </c>
      <c r="G99" s="46">
        <v>2</v>
      </c>
      <c r="H99" s="84" t="s">
        <v>266</v>
      </c>
      <c r="I99" s="84" t="s">
        <v>245</v>
      </c>
      <c r="J99" s="46">
        <v>32</v>
      </c>
      <c r="K99" s="46">
        <v>16</v>
      </c>
      <c r="L99" s="46"/>
      <c r="M99" s="46"/>
      <c r="N99" s="46">
        <v>16</v>
      </c>
      <c r="O99" s="46">
        <v>6</v>
      </c>
      <c r="P99" s="84" t="s">
        <v>274</v>
      </c>
      <c r="Q99" s="83"/>
      <c r="R99" s="82"/>
      <c r="S99" s="82"/>
    </row>
    <row r="100" spans="1:19" ht="21" customHeight="1">
      <c r="A100" s="158"/>
      <c r="B100" s="158"/>
      <c r="C100" s="158"/>
      <c r="D100" s="46" t="s">
        <v>229</v>
      </c>
      <c r="E100" s="124" t="s">
        <v>241</v>
      </c>
      <c r="F100" s="123" t="s">
        <v>243</v>
      </c>
      <c r="G100" s="46">
        <v>2</v>
      </c>
      <c r="H100" s="84" t="s">
        <v>13</v>
      </c>
      <c r="I100" s="84" t="s">
        <v>245</v>
      </c>
      <c r="J100" s="46">
        <v>32</v>
      </c>
      <c r="K100" s="46">
        <v>16</v>
      </c>
      <c r="L100" s="46">
        <v>16</v>
      </c>
      <c r="M100" s="46"/>
      <c r="N100" s="46"/>
      <c r="O100" s="46">
        <v>6</v>
      </c>
      <c r="P100" s="84" t="s">
        <v>274</v>
      </c>
      <c r="Q100" s="83"/>
      <c r="R100" s="82"/>
    </row>
    <row r="101" spans="1:19" ht="21" customHeight="1">
      <c r="A101" s="158"/>
      <c r="B101" s="158"/>
      <c r="C101" s="158"/>
      <c r="D101" s="46" t="s">
        <v>238</v>
      </c>
      <c r="E101" s="123" t="s">
        <v>330</v>
      </c>
      <c r="F101" s="123" t="s">
        <v>237</v>
      </c>
      <c r="G101" s="46">
        <v>2</v>
      </c>
      <c r="H101" s="84" t="s">
        <v>13</v>
      </c>
      <c r="I101" s="84" t="s">
        <v>45</v>
      </c>
      <c r="J101" s="46">
        <v>32</v>
      </c>
      <c r="K101" s="46">
        <v>16</v>
      </c>
      <c r="L101" s="46">
        <v>16</v>
      </c>
      <c r="M101" s="46"/>
      <c r="N101" s="46"/>
      <c r="O101" s="46">
        <v>6</v>
      </c>
      <c r="P101" s="84" t="s">
        <v>274</v>
      </c>
      <c r="Q101" s="83"/>
      <c r="R101" s="82"/>
    </row>
    <row r="102" spans="1:19" ht="28.5" customHeight="1">
      <c r="A102" s="158"/>
      <c r="B102" s="158"/>
      <c r="C102" s="158"/>
      <c r="D102" s="46" t="s">
        <v>227</v>
      </c>
      <c r="E102" s="124" t="s">
        <v>331</v>
      </c>
      <c r="F102" s="123" t="s">
        <v>228</v>
      </c>
      <c r="G102" s="46">
        <v>2</v>
      </c>
      <c r="H102" s="84" t="s">
        <v>13</v>
      </c>
      <c r="I102" s="84" t="s">
        <v>118</v>
      </c>
      <c r="J102" s="46">
        <v>32</v>
      </c>
      <c r="K102" s="46">
        <v>18</v>
      </c>
      <c r="L102" s="46"/>
      <c r="M102" s="46"/>
      <c r="N102" s="46">
        <v>14</v>
      </c>
      <c r="O102" s="46">
        <v>6</v>
      </c>
      <c r="P102" s="84" t="s">
        <v>274</v>
      </c>
      <c r="Q102" s="83"/>
      <c r="R102" s="82"/>
    </row>
    <row r="103" spans="1:19" ht="21" customHeight="1">
      <c r="A103" s="158"/>
      <c r="B103" s="158"/>
      <c r="C103" s="182" t="s">
        <v>11</v>
      </c>
      <c r="D103" s="183"/>
      <c r="E103" s="183"/>
      <c r="F103" s="184"/>
      <c r="G103" s="74">
        <v>4</v>
      </c>
      <c r="H103" s="185"/>
      <c r="I103" s="186"/>
      <c r="J103" s="186"/>
      <c r="K103" s="186"/>
      <c r="L103" s="186"/>
      <c r="M103" s="186"/>
      <c r="N103" s="186"/>
      <c r="O103" s="187"/>
      <c r="P103" s="75"/>
    </row>
    <row r="104" spans="1:19" ht="21" customHeight="1">
      <c r="A104" s="158"/>
      <c r="B104" s="150" t="s">
        <v>23</v>
      </c>
      <c r="C104" s="163"/>
      <c r="D104" s="163"/>
      <c r="E104" s="163"/>
      <c r="F104" s="164"/>
      <c r="G104" s="14">
        <f>G103+G94+G81</f>
        <v>33</v>
      </c>
      <c r="H104" s="188"/>
      <c r="I104" s="189"/>
      <c r="J104" s="189">
        <f>H81+H103</f>
        <v>0</v>
      </c>
      <c r="K104" s="189">
        <f>K81+K103</f>
        <v>0</v>
      </c>
      <c r="L104" s="189">
        <f>L81+L103</f>
        <v>0</v>
      </c>
      <c r="M104" s="189">
        <f>M81+M103</f>
        <v>0</v>
      </c>
      <c r="N104" s="189">
        <f>N81+N103</f>
        <v>0</v>
      </c>
      <c r="O104" s="190"/>
      <c r="P104" s="10"/>
    </row>
    <row r="105" spans="1:19" ht="29.1" customHeight="1">
      <c r="A105" s="150" t="s">
        <v>24</v>
      </c>
      <c r="B105" s="162"/>
      <c r="C105" s="162"/>
      <c r="D105" s="162"/>
      <c r="E105" s="162"/>
      <c r="F105" s="165"/>
      <c r="G105" s="14">
        <f>G104+G75+G51</f>
        <v>165</v>
      </c>
      <c r="H105" s="159"/>
      <c r="I105" s="160"/>
      <c r="J105" s="160"/>
      <c r="K105" s="160"/>
      <c r="L105" s="160"/>
      <c r="M105" s="160"/>
      <c r="N105" s="160"/>
      <c r="O105" s="166"/>
      <c r="P105" s="10"/>
    </row>
  </sheetData>
  <autoFilter ref="A5:P105" xr:uid="{00000000-0001-0000-0000-000000000000}">
    <filterColumn colId="0" showButton="0"/>
    <filterColumn colId="1" showButton="0"/>
  </autoFilter>
  <mergeCells count="69">
    <mergeCell ref="A4:C5"/>
    <mergeCell ref="A6:A51"/>
    <mergeCell ref="G4:G5"/>
    <mergeCell ref="H4:H5"/>
    <mergeCell ref="I4:I5"/>
    <mergeCell ref="C6:C15"/>
    <mergeCell ref="C16:C20"/>
    <mergeCell ref="C21:C29"/>
    <mergeCell ref="C30:C39"/>
    <mergeCell ref="D4:D5"/>
    <mergeCell ref="E4:E5"/>
    <mergeCell ref="H42:O42"/>
    <mergeCell ref="K4:N4"/>
    <mergeCell ref="H15:O15"/>
    <mergeCell ref="D20:F20"/>
    <mergeCell ref="H20:O20"/>
    <mergeCell ref="F4:F5"/>
    <mergeCell ref="P4:P5"/>
    <mergeCell ref="O4:O5"/>
    <mergeCell ref="J4:J5"/>
    <mergeCell ref="A76:A104"/>
    <mergeCell ref="B76:B81"/>
    <mergeCell ref="B82:B103"/>
    <mergeCell ref="C78:C80"/>
    <mergeCell ref="C82:C85"/>
    <mergeCell ref="C103:F103"/>
    <mergeCell ref="H103:O103"/>
    <mergeCell ref="B104:F104"/>
    <mergeCell ref="H104:O104"/>
    <mergeCell ref="D15:F15"/>
    <mergeCell ref="B6:B46"/>
    <mergeCell ref="C45:C46"/>
    <mergeCell ref="A105:F105"/>
    <mergeCell ref="H105:O105"/>
    <mergeCell ref="C95:C102"/>
    <mergeCell ref="H81:O81"/>
    <mergeCell ref="H44:O44"/>
    <mergeCell ref="D50:F50"/>
    <mergeCell ref="C61:C67"/>
    <mergeCell ref="H94:P94"/>
    <mergeCell ref="D94:F94"/>
    <mergeCell ref="H75:O75"/>
    <mergeCell ref="C40:C44"/>
    <mergeCell ref="B53:B74"/>
    <mergeCell ref="C86:C89"/>
    <mergeCell ref="C90:C93"/>
    <mergeCell ref="B47:B50"/>
    <mergeCell ref="C81:F81"/>
    <mergeCell ref="C69:C74"/>
    <mergeCell ref="A1:P1"/>
    <mergeCell ref="A2:P2"/>
    <mergeCell ref="A3:B3"/>
    <mergeCell ref="C3:E3"/>
    <mergeCell ref="G3:P3"/>
    <mergeCell ref="I27:I28"/>
    <mergeCell ref="A53:A75"/>
    <mergeCell ref="B75:F75"/>
    <mergeCell ref="D43:F43"/>
    <mergeCell ref="D44:F44"/>
    <mergeCell ref="D49:F49"/>
    <mergeCell ref="B51:F51"/>
    <mergeCell ref="H29:O29"/>
    <mergeCell ref="D39:F39"/>
    <mergeCell ref="H39:O39"/>
    <mergeCell ref="H43:O43"/>
    <mergeCell ref="H49:O49"/>
    <mergeCell ref="D42:F42"/>
    <mergeCell ref="H46:O46"/>
    <mergeCell ref="D46:F46"/>
  </mergeCells>
  <phoneticPr fontId="8" type="noConversion"/>
  <dataValidations count="6">
    <dataValidation type="list" allowBlank="1" showInputMessage="1" showErrorMessage="1" sqref="H51:H67 H70:H74" xr:uid="{00000000-0002-0000-0000-000000000000}">
      <formula1>"必修,核心必修,选修"</formula1>
    </dataValidation>
    <dataValidation allowBlank="1" showErrorMessage="1" sqref="E6:E10 E16" xr:uid="{BA3BD56D-682D-47FD-9304-EAC9E3629256}"/>
    <dataValidation allowBlank="1" showErrorMessage="1" prompt="表中所列信息应与2014版本科人才培养方案中的课程信息一致，填写完后请注意核对，避免返工。" sqref="E17:E19" xr:uid="{ECBD1006-D264-4775-A9D6-4C992242F06B}"/>
    <dataValidation allowBlank="1" showInputMessage="1" showErrorMessage="1" promptTitle="注意" sqref="E30:E38" xr:uid="{1B0051F8-9E24-43D1-B2EC-FEFBDFCD99EE}"/>
    <dataValidation type="list" allowBlank="1" showInputMessage="1" showErrorMessage="1" sqref="P81 P103:P105 P70:P75 P6:P67" xr:uid="{00000000-0002-0000-0000-000002000000}">
      <formula1>"上半学期,下半学期,小学期"</formula1>
    </dataValidation>
    <dataValidation allowBlank="1" showInputMessage="1" showErrorMessage="1" promptTitle="注意" prompt="表中所列信息应与2018版本科人才培养方案中的课程信息一致，填写完后请注意核对，避免返工。" sqref="E99 E91" xr:uid="{FA02E9A7-7AF3-4406-817F-BE491DA70B97}"/>
  </dataValidations>
  <pageMargins left="0.39305555555555599" right="0.27500000000000002" top="0.43263888888888902" bottom="0.62916666666666698" header="0.31388888888888899" footer="0.31388888888888899"/>
  <pageSetup paperSize="9" fitToHeight="0" orientation="landscape" r:id="rId1"/>
  <headerFooter>
    <oddFooter>&amp;C第 &amp;P 页 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0B8FD-D826-41DD-966B-7CD436DD3FDC}">
  <dimension ref="A2:K3"/>
  <sheetViews>
    <sheetView workbookViewId="0">
      <selection activeCell="E3" sqref="E3"/>
    </sheetView>
  </sheetViews>
  <sheetFormatPr defaultRowHeight="14.4"/>
  <sheetData>
    <row r="2" spans="1:11">
      <c r="A2" s="82" t="s">
        <v>312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 s="83" t="s">
        <v>311</v>
      </c>
      <c r="K2" s="83" t="s">
        <v>310</v>
      </c>
    </row>
    <row r="3" spans="1:11">
      <c r="A3" s="82" t="s">
        <v>313</v>
      </c>
      <c r="B3" s="81">
        <v>26.5</v>
      </c>
      <c r="C3" s="81">
        <v>26.5</v>
      </c>
      <c r="D3" s="81">
        <v>24.5</v>
      </c>
      <c r="E3" s="81">
        <v>23</v>
      </c>
      <c r="F3">
        <v>20.5</v>
      </c>
      <c r="G3">
        <v>20.5</v>
      </c>
      <c r="H3">
        <v>3</v>
      </c>
      <c r="I3">
        <v>10</v>
      </c>
      <c r="J3">
        <v>10.5</v>
      </c>
      <c r="K3">
        <f>SUM(B3:J3)</f>
        <v>165</v>
      </c>
    </row>
  </sheetData>
  <phoneticPr fontId="8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课程设置与教学进程计划表</vt:lpstr>
      <vt:lpstr>各学期学分统计</vt:lpstr>
      <vt:lpstr>课程设置与教学进程计划表!Print_Area</vt:lpstr>
      <vt:lpstr>课程设置与教学进程计划表!Print_Titles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xueyj</dc:creator>
  <cp:lastModifiedBy>fading zhao</cp:lastModifiedBy>
  <cp:lastPrinted>2022-05-13T15:00:05Z</cp:lastPrinted>
  <dcterms:created xsi:type="dcterms:W3CDTF">2006-09-16T00:00:00Z</dcterms:created>
  <dcterms:modified xsi:type="dcterms:W3CDTF">2026-06-30T02:00:08Z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